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DPDP Tracker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'Cover'!$A$15:$D$16</definedName>
    <definedName name="_xlnm._FilterDatabase" localSheetId="2" hidden="1">'DPDP Tracker'!$A$1:$I$26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B2447"/>
      <sz val="16"/>
    </font>
    <font>
      <name val="Calibri"/>
      <color rgb="0005639E"/>
      <sz val="13"/>
    </font>
    <font>
      <name val="Calibri"/>
      <b val="1"/>
      <color rgb="000B2447"/>
      <sz val="10"/>
    </font>
    <font>
      <name val="Calibri"/>
      <color rgb="00344054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344054"/>
      <sz val="10"/>
    </font>
    <font>
      <name val="Calibri"/>
      <b val="1"/>
      <color rgb="000B2447"/>
      <sz val="14"/>
    </font>
    <font>
      <name val="Calibri"/>
      <color rgb="00667085"/>
      <sz val="10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0B2447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6" fillId="3" borderId="1" pivotButton="0" quotePrefix="0" xfId="0"/>
    <xf numFmtId="0" fontId="0" fillId="3" borderId="1" pivotButton="0" quotePrefix="0" xfId="0"/>
    <xf numFmtId="0" fontId="7" fillId="0" borderId="1" pivotButton="0" quotePrefix="0" xfId="0"/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8" fillId="0" borderId="0" pivotButton="0" quotePrefix="0" xfId="0"/>
    <xf numFmtId="0" fontId="7" fillId="2" borderId="1" pivotButton="0" quotePrefix="0" xfId="0"/>
    <xf numFmtId="0" fontId="4" fillId="0" borderId="1" applyAlignment="1" pivotButton="0" quotePrefix="0" xfId="0">
      <alignment horizontal="center"/>
    </xf>
    <xf numFmtId="0" fontId="9" fillId="0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74" customWidth="1" min="4" max="4"/>
  </cols>
  <sheetData>
    <row r="1">
      <c r="A1" s="1" t="inlineStr">
        <is>
          <t>AVSAR - Startup-Friendly Public Procurement Platform</t>
        </is>
      </c>
    </row>
    <row r="2">
      <c r="A2" s="2" t="inlineStr">
        <is>
          <t>DPDP Compliance Tracker</t>
        </is>
      </c>
    </row>
    <row r="4">
      <c r="A4" s="3" t="inlineStr">
        <is>
          <t>Document ID</t>
        </is>
      </c>
      <c r="B4" s="4" t="inlineStr">
        <is>
          <t>AVSAR-DPD-009</t>
        </is>
      </c>
    </row>
    <row r="5">
      <c r="A5" s="3" t="inlineStr">
        <is>
          <t>Version</t>
        </is>
      </c>
      <c r="B5" s="4" t="inlineStr">
        <is>
          <t>1.0</t>
        </is>
      </c>
    </row>
    <row r="6">
      <c r="A6" s="3" t="inlineStr">
        <is>
          <t>Date</t>
        </is>
      </c>
      <c r="B6" s="4" t="inlineStr">
        <is>
          <t>03 September 2026</t>
        </is>
      </c>
    </row>
    <row r="7">
      <c r="A7" s="3" t="inlineStr">
        <is>
          <t>Prepared by</t>
        </is>
      </c>
      <c r="B7" s="4" t="inlineStr">
        <is>
          <t>TandSol</t>
        </is>
      </c>
    </row>
    <row r="8">
      <c r="A8" s="3" t="inlineStr">
        <is>
          <t>Status</t>
        </is>
      </c>
      <c r="B8" s="4" t="inlineStr">
        <is>
          <t>Living</t>
        </is>
      </c>
    </row>
    <row r="9">
      <c r="A9" s="3" t="inlineStr">
        <is>
          <t>Related documents</t>
        </is>
      </c>
      <c r="B9" s="4" t="inlineStr">
        <is>
          <t>AVSAR-HBK-001, AVSAR-CHR-002, AVSAR-PMP-003, AVSAR-RTM-004, AVSAR-SDD-005, AVSAR-CDR-006, AVSAR-RSK-007, AVSAR-TML-008, AVSAR-RET-010, AVSAR-QAB-011</t>
        </is>
      </c>
    </row>
    <row r="10">
      <c r="A10" s="3" t="inlineStr">
        <is>
          <t>Classification</t>
        </is>
      </c>
      <c r="B10" s="4" t="inlineStr">
        <is>
          <t>Internal - Smart India Hackathon submission</t>
        </is>
      </c>
    </row>
    <row r="12" ht="58" customHeight="1">
      <c r="A12" s="5" t="inlineStr">
        <is>
          <t>Purpose</t>
        </is>
      </c>
      <c r="B12" s="6" t="inlineStr">
        <is>
          <t>One row per obligation under the Digital Personal Data Protection Act 2023, the CERT-In Directions of 2022 and the accessibility and audit standards that apply to a government platform. Evidence cites a concrete artefact - a file path, a table, an endpoint or a document ID. An obligation with no such evidence is recorded as Not Started, and the open items are listed on the Summary tab rather than buried.</t>
        </is>
      </c>
    </row>
    <row r="14">
      <c r="A14" s="5" t="inlineStr">
        <is>
          <t>Revision history</t>
        </is>
      </c>
    </row>
    <row r="15" ht="30" customHeight="1">
      <c r="A15" s="7" t="inlineStr">
        <is>
          <t>Version</t>
        </is>
      </c>
      <c r="B15" s="7" t="inlineStr">
        <is>
          <t>Date</t>
        </is>
      </c>
      <c r="C15" s="7" t="inlineStr">
        <is>
          <t>Author</t>
        </is>
      </c>
      <c r="D15" s="7" t="inlineStr">
        <is>
          <t>Change</t>
        </is>
      </c>
    </row>
    <row r="16">
      <c r="A16" s="8" t="inlineStr">
        <is>
          <t>1.0</t>
        </is>
      </c>
      <c r="B16" s="8" t="inlineStr">
        <is>
          <t>03 Sep 2026</t>
        </is>
      </c>
      <c r="C16" s="8" t="inlineStr">
        <is>
          <t>TandSol</t>
        </is>
      </c>
      <c r="D16" s="4" t="inlineStr">
        <is>
          <t>Baseline. Twenty-five obligations assessed: DPDP Act 2023 sections 4 to 16, CERT-In Directions 2022, GIGW 3.0 and audit-trail integrity.</t>
        </is>
      </c>
    </row>
    <row r="19">
      <c r="A19" s="5" t="inlineStr">
        <is>
          <t>Honest position</t>
        </is>
      </c>
      <c r="B19" s="6" t="inlineStr">
        <is>
          <t>This is a demonstration build. Fifteen obligations are met, six are partially met and five are not started. The five open items are consent artefacts and withdrawal, scheduled-language notice, clock synchronisation, nomination, and VAPT - all of which are deployment-phase controls with owners and target dates.</t>
        </is>
      </c>
    </row>
  </sheetData>
  <autoFilter ref="A15:D16"/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9" t="inlineStr">
        <is>
          <t>Status</t>
        </is>
      </c>
      <c r="B1" s="10" t="n"/>
    </row>
    <row r="2">
      <c r="A2" s="11" t="inlineStr">
        <is>
          <t>Done</t>
        </is>
      </c>
      <c r="B2" s="4" t="inlineStr">
        <is>
          <t>Control implemented and evidenced by a named artefact</t>
        </is>
      </c>
    </row>
    <row r="3">
      <c r="A3" s="11" t="inlineStr">
        <is>
          <t>Partial</t>
        </is>
      </c>
      <c r="B3" s="4" t="inlineStr">
        <is>
          <t>Control partly implemented; the specific gap is stated in Notes</t>
        </is>
      </c>
    </row>
    <row r="4">
      <c r="A4" s="11" t="inlineStr">
        <is>
          <t>Not Started</t>
        </is>
      </c>
      <c r="B4" s="4" t="inlineStr">
        <is>
          <t>No implementation; owner and target date recorded</t>
        </is>
      </c>
    </row>
    <row r="5">
      <c r="A5" s="11" t="inlineStr">
        <is>
          <t>N/A</t>
        </is>
      </c>
      <c r="B5" s="4" t="inlineStr">
        <is>
          <t>Obligation does not apply; the reason is recorded in Notes</t>
        </is>
      </c>
    </row>
    <row r="7">
      <c r="A7" s="9" t="inlineStr">
        <is>
          <t>Applicability</t>
        </is>
      </c>
      <c r="B7" s="10" t="n"/>
    </row>
    <row r="8">
      <c r="A8" s="11" t="inlineStr">
        <is>
          <t>Applicable - all users</t>
        </is>
      </c>
      <c r="B8" s="4" t="inlineStr">
        <is>
          <t>Every data principal on the platform</t>
        </is>
      </c>
    </row>
    <row r="9">
      <c r="A9" s="11" t="inlineStr">
        <is>
          <t>Applicable - startups</t>
        </is>
      </c>
      <c r="B9" s="4" t="inlineStr">
        <is>
          <t>Founders and authorised signatories of applicant entities</t>
        </is>
      </c>
    </row>
    <row r="10">
      <c r="A10" s="11" t="inlineStr">
        <is>
          <t>Applicable - officials</t>
        </is>
      </c>
      <c r="B10" s="4" t="inlineStr">
        <is>
          <t>Departmental users processing under a State function</t>
        </is>
      </c>
    </row>
    <row r="11">
      <c r="A11" s="11" t="inlineStr">
        <is>
          <t>Applicable - departments</t>
        </is>
      </c>
      <c r="B11" s="4" t="inlineStr">
        <is>
          <t>The data fiduciary</t>
        </is>
      </c>
    </row>
    <row r="12">
      <c r="A12" s="11" t="inlineStr">
        <is>
          <t>Applicable - pilots</t>
        </is>
      </c>
      <c r="B12" s="4" t="inlineStr">
        <is>
          <t>Arises only where a pilot processes personal data</t>
        </is>
      </c>
    </row>
    <row r="13">
      <c r="A13" s="11" t="inlineStr">
        <is>
          <t>Applicable - platform</t>
        </is>
      </c>
      <c r="B13" s="4" t="inlineStr">
        <is>
          <t>A platform-level technical or operational control</t>
        </is>
      </c>
    </row>
    <row r="14">
      <c r="A14" s="11" t="inlineStr">
        <is>
          <t>Not applicable</t>
        </is>
      </c>
      <c r="B14" s="4" t="inlineStr">
        <is>
          <t>Does not arise given the user categories and data processed</t>
        </is>
      </c>
    </row>
    <row r="16">
      <c r="A16" s="9" t="inlineStr">
        <is>
          <t>What counts as evidence</t>
        </is>
      </c>
      <c r="B16" s="10" t="n"/>
    </row>
    <row r="17">
      <c r="A17" s="11" t="inlineStr">
        <is>
          <t>File path</t>
        </is>
      </c>
      <c r="B17" s="4" t="inlineStr">
        <is>
          <t>server/src/routes/pilots.js - the code that enforces the control</t>
        </is>
      </c>
    </row>
    <row r="18">
      <c r="A18" s="11" t="inlineStr">
        <is>
          <t>Table name</t>
        </is>
      </c>
      <c r="B18" s="4" t="inlineStr">
        <is>
          <t>audit_log - where the record is kept</t>
        </is>
      </c>
    </row>
    <row r="19">
      <c r="A19" s="11" t="inlineStr">
        <is>
          <t>Endpoint</t>
        </is>
      </c>
      <c r="B19" s="4" t="inlineStr">
        <is>
          <t>GET /api/audit/verify - how the control is exercised</t>
        </is>
      </c>
    </row>
    <row r="20">
      <c r="A20" s="11" t="inlineStr">
        <is>
          <t>Test reference</t>
        </is>
      </c>
      <c r="B20" s="4" t="inlineStr">
        <is>
          <t>workflow.test.mjs - the assertion that proves it holds</t>
        </is>
      </c>
    </row>
    <row r="21">
      <c r="A21" s="11" t="inlineStr">
        <is>
          <t>Document ID</t>
        </is>
      </c>
      <c r="B21" s="4" t="inlineStr">
        <is>
          <t>AVSAR-RET-010 - the policy that governs it</t>
        </is>
      </c>
    </row>
    <row r="22">
      <c r="A22" s="11" t="inlineStr">
        <is>
          <t>Not evidence</t>
        </is>
      </c>
      <c r="B22" s="4" t="inlineStr">
        <is>
          <t>An intention, a plan, or a statement that the team is aware of the obligation</t>
        </is>
      </c>
    </row>
    <row r="24">
      <c r="A24" s="9" t="inlineStr">
        <is>
          <t>Instruments covered</t>
        </is>
      </c>
      <c r="B24" s="10" t="n"/>
    </row>
    <row r="25">
      <c r="A25" s="11" t="inlineStr">
        <is>
          <t>DPDP Act 2023</t>
        </is>
      </c>
      <c r="B25" s="4" t="inlineStr">
        <is>
          <t>Digital Personal Data Protection Act, sections 4 to 16</t>
        </is>
      </c>
    </row>
    <row r="26">
      <c r="A26" s="11" t="inlineStr">
        <is>
          <t>CERT-In Directions 2022</t>
        </is>
      </c>
      <c r="B26" s="4" t="inlineStr">
        <is>
          <t>Incident reporting, log retention, time synchronisation, assessment</t>
        </is>
      </c>
    </row>
    <row r="27">
      <c r="A27" s="11" t="inlineStr">
        <is>
          <t>GIGW 3.0 / WCAG 2.1 AA</t>
        </is>
      </c>
      <c r="B27" s="4" t="inlineStr">
        <is>
          <t>Accessibility and usability of government websites</t>
        </is>
      </c>
    </row>
    <row r="28">
      <c r="A28" s="11" t="inlineStr">
        <is>
          <t>GFR 2017 / CAG</t>
        </is>
      </c>
      <c r="B28" s="4" t="inlineStr">
        <is>
          <t>Audit-trail integrity supporting a procurement decision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66" customWidth="1" min="3" max="3"/>
    <col width="24" customWidth="1" min="4" max="4"/>
    <col width="12" customWidth="1" min="5" max="5"/>
    <col width="70" customWidth="1" min="6" max="6"/>
    <col width="22" customWidth="1" min="7" max="7"/>
    <col width="13" customWidth="1" min="8" max="8"/>
    <col width="56" customWidth="1" min="9" max="9"/>
  </cols>
  <sheetData>
    <row r="1" ht="30" customHeight="1">
      <c r="A1" s="7" t="inlineStr">
        <is>
          <t>Ref</t>
        </is>
      </c>
      <c r="B1" s="7" t="inlineStr">
        <is>
          <t>Section</t>
        </is>
      </c>
      <c r="C1" s="7" t="inlineStr">
        <is>
          <t>Requirement</t>
        </is>
      </c>
      <c r="D1" s="7" t="inlineStr">
        <is>
          <t>Applicability</t>
        </is>
      </c>
      <c r="E1" s="7" t="inlineStr">
        <is>
          <t>Status</t>
        </is>
      </c>
      <c r="F1" s="7" t="inlineStr">
        <is>
          <t>Evidence</t>
        </is>
      </c>
      <c r="G1" s="7" t="inlineStr">
        <is>
          <t>Owner</t>
        </is>
      </c>
      <c r="H1" s="7" t="inlineStr">
        <is>
          <t>Next Review</t>
        </is>
      </c>
      <c r="I1" s="7" t="inlineStr">
        <is>
          <t>Notes</t>
        </is>
      </c>
    </row>
    <row r="2">
      <c r="A2" s="8" t="inlineStr">
        <is>
          <t>D-01</t>
        </is>
      </c>
      <c r="B2" s="8" t="inlineStr">
        <is>
          <t>DPDP s.4 - Grounds for processing</t>
        </is>
      </c>
      <c r="C2" s="4" t="inlineStr">
        <is>
          <t>Personal data may be processed only for a lawful purpose for which the data principal has given consent, or for a legitimate use.</t>
        </is>
      </c>
      <c r="D2" s="8" t="inlineStr">
        <is>
          <t>Applicable - all users</t>
        </is>
      </c>
      <c r="E2" s="8" t="inlineStr">
        <is>
          <t>Done</t>
        </is>
      </c>
      <c r="F2" s="4" t="inlineStr">
        <is>
          <t>Purpose is declared at registration and bounded by procurement participation. Registration notice text: client/src/pages/Register.jsx step 4. Purpose constant: server/src/config.js.</t>
        </is>
      </c>
      <c r="G2" s="8" t="inlineStr">
        <is>
          <t>Nodal Officer</t>
        </is>
      </c>
      <c r="H2" s="8" t="inlineStr">
        <is>
          <t>31 Mar 2027</t>
        </is>
      </c>
      <c r="I2" s="4" t="inlineStr">
        <is>
          <t>Legitimate use is also available for a public-function processing basis; consent is taken regardless so the basis is unambiguous.</t>
        </is>
      </c>
    </row>
    <row r="3">
      <c r="A3" s="12" t="inlineStr">
        <is>
          <t>D-02</t>
        </is>
      </c>
      <c r="B3" s="12" t="inlineStr">
        <is>
          <t>DPDP s.5 - Notice</t>
        </is>
      </c>
      <c r="C3" s="13" t="inlineStr">
        <is>
          <t>A clear notice must be given at or before the time of seeking consent, stating the personal data collected and the purpose of processing.</t>
        </is>
      </c>
      <c r="D3" s="12" t="inlineStr">
        <is>
          <t>Applicable - startups</t>
        </is>
      </c>
      <c r="E3" s="12" t="inlineStr">
        <is>
          <t>Done</t>
        </is>
      </c>
      <c r="F3" s="13" t="inlineStr">
        <is>
          <t>Notice rendered on the final registration step before submission: client/src/pages/Register.jsx. Text names the statute, the purpose and the fact that the eligibility verdict is stored.</t>
        </is>
      </c>
      <c r="G3" s="12" t="inlineStr">
        <is>
          <t>Nodal Officer</t>
        </is>
      </c>
      <c r="H3" s="12" t="inlineStr">
        <is>
          <t>31 Mar 2027</t>
        </is>
      </c>
      <c r="I3" s="13" t="inlineStr">
        <is>
          <t>Itemised notice per data category is a phase-two improvement; the present notice is purpose-level.</t>
        </is>
      </c>
    </row>
    <row r="4">
      <c r="A4" s="8" t="inlineStr">
        <is>
          <t>D-03</t>
        </is>
      </c>
      <c r="B4" s="8" t="inlineStr">
        <is>
          <t>DPDP s.6 - Consent</t>
        </is>
      </c>
      <c r="C4" s="4" t="inlineStr">
        <is>
          <t>Consent must be free, specific, informed, unconditional and unambiguous, with a clear affirmative action, and limited to the data necessary for the specified purpose.</t>
        </is>
      </c>
      <c r="D4" s="8" t="inlineStr">
        <is>
          <t>Applicable - startups</t>
        </is>
      </c>
      <c r="E4" s="8" t="inlineStr">
        <is>
          <t>Partial</t>
        </is>
      </c>
      <c r="F4" s="4" t="inlineStr">
        <is>
          <t>Submission of the registration form is the affirmative action and is timestamped in the audit log (action STARTUP_REGISTERED). A separate, revocable consent artefact per purpose is not yet implemented.</t>
        </is>
      </c>
      <c r="G4" s="8" t="inlineStr">
        <is>
          <t>Scientist-E (NIC)</t>
        </is>
      </c>
      <c r="H4" s="8" t="inlineStr">
        <is>
          <t>31 Dec 2026</t>
        </is>
      </c>
      <c r="I4" s="4" t="inlineStr">
        <is>
          <t>Gap: a discrete consent record with its own withdrawal endpoint. Tracked as a deployment-readiness item.</t>
        </is>
      </c>
    </row>
    <row r="5">
      <c r="A5" s="12" t="inlineStr">
        <is>
          <t>D-04</t>
        </is>
      </c>
      <c r="B5" s="12" t="inlineStr">
        <is>
          <t>DPDP s.6(4) - Withdrawal of consent</t>
        </is>
      </c>
      <c r="C5" s="13" t="inlineStr">
        <is>
          <t>The data principal must be able to withdraw consent at any time, with ease comparable to giving it.</t>
        </is>
      </c>
      <c r="D5" s="12" t="inlineStr">
        <is>
          <t>Applicable - startups</t>
        </is>
      </c>
      <c r="E5" s="12" t="inlineStr">
        <is>
          <t>Not Started</t>
        </is>
      </c>
      <c r="F5" s="13" t="inlineStr">
        <is>
          <t>No self-service withdrawal or account-closure endpoint exists in the demonstration build.</t>
        </is>
      </c>
      <c r="G5" s="12" t="inlineStr">
        <is>
          <t>Scientist-E (NIC)</t>
        </is>
      </c>
      <c r="H5" s="12" t="inlineStr">
        <is>
          <t>31 Dec 2026</t>
        </is>
      </c>
      <c r="I5" s="13" t="inlineStr">
        <is>
          <t>Known gap, recorded in AVSAR-RET-010 section 6. Withdrawal must be reconciled against the retention obligation on award records.</t>
        </is>
      </c>
    </row>
    <row r="6">
      <c r="A6" s="8" t="inlineStr">
        <is>
          <t>D-05</t>
        </is>
      </c>
      <c r="B6" s="8" t="inlineStr">
        <is>
          <t>DPDP s.6(9) - Consent notice in scheduled languages</t>
        </is>
      </c>
      <c r="C6" s="4" t="inlineStr">
        <is>
          <t>The notice must be available in English and in the languages specified in the Eighth Schedule to the Constitution.</t>
        </is>
      </c>
      <c r="D6" s="8" t="inlineStr">
        <is>
          <t>Applicable - startups</t>
        </is>
      </c>
      <c r="E6" s="8" t="inlineStr">
        <is>
          <t>Not Started</t>
        </is>
      </c>
      <c r="F6" s="4" t="inlineStr">
        <is>
          <t>Interface and notice are English-only. Content is separated from components (NF-016) so a Hindi layer can be added without structural change.</t>
        </is>
      </c>
      <c r="G6" s="8" t="inlineStr">
        <is>
          <t>Design lead</t>
        </is>
      </c>
      <c r="H6" s="8" t="inlineStr">
        <is>
          <t>31 Mar 2027</t>
        </is>
      </c>
      <c r="I6" s="4" t="inlineStr">
        <is>
          <t>Hindi first, then the language set of the deploying state. Blocking for a live public deployment.</t>
        </is>
      </c>
    </row>
    <row r="7">
      <c r="A7" s="12" t="inlineStr">
        <is>
          <t>D-06</t>
        </is>
      </c>
      <c r="B7" s="12" t="inlineStr">
        <is>
          <t>DPDP s.7 - Legitimate uses</t>
        </is>
      </c>
      <c r="C7" s="13" t="inlineStr">
        <is>
          <t>Processing for the performance of a function of the State, or for compliance with a judgment or law, is a legitimate use.</t>
        </is>
      </c>
      <c r="D7" s="12" t="inlineStr">
        <is>
          <t>Applicable - officials</t>
        </is>
      </c>
      <c r="E7" s="12" t="inlineStr">
        <is>
          <t>Done</t>
        </is>
      </c>
      <c r="F7" s="13" t="inlineStr">
        <is>
          <t>Departmental user accounts are created by the platform administrator for the performance of a State function; no consent flow is applied to official accounts. Seeded in server/src/db/seed.js.</t>
        </is>
      </c>
      <c r="G7" s="12" t="inlineStr">
        <is>
          <t>Nodal Officer</t>
        </is>
      </c>
      <c r="H7" s="12" t="inlineStr">
        <is>
          <t>31 Mar 2027</t>
        </is>
      </c>
      <c r="I7" s="13" t="inlineStr">
        <is>
          <t>Basis documented so the difference in treatment between official and startup accounts is deliberate and explainable.</t>
        </is>
      </c>
    </row>
    <row r="8">
      <c r="A8" s="8" t="inlineStr">
        <is>
          <t>D-07</t>
        </is>
      </c>
      <c r="B8" s="8" t="inlineStr">
        <is>
          <t>DPDP s.8(1) - Data fiduciary accountability</t>
        </is>
      </c>
      <c r="C8" s="4" t="inlineStr">
        <is>
          <t>The data fiduciary is responsible for compliance in respect of any processing undertaken by it or on its behalf by a data processor.</t>
        </is>
      </c>
      <c r="D8" s="8" t="inlineStr">
        <is>
          <t>Applicable - departments</t>
        </is>
      </c>
      <c r="E8" s="8" t="inlineStr">
        <is>
          <t>Done</t>
        </is>
      </c>
      <c r="F8" s="4" t="inlineStr">
        <is>
          <t>The department is the fiduciary; the startup running a pilot is a processor. The relationship is fixed by a data processing agreement that the platform requires before pilot activation: server/src/routes/pilots.js returns HTTP 412 without it.</t>
        </is>
      </c>
      <c r="G8" s="8" t="inlineStr">
        <is>
          <t>Department Head</t>
        </is>
      </c>
      <c r="H8" s="8" t="inlineStr">
        <is>
          <t>31 Mar 2027</t>
        </is>
      </c>
      <c r="I8" s="4" t="inlineStr">
        <is>
          <t>Asserted by the end-to-end suite: workflow.test.mjs, 'a pilot cannot go live without the DPDP data processing agreement'.</t>
        </is>
      </c>
    </row>
    <row r="9">
      <c r="A9" s="12" t="inlineStr">
        <is>
          <t>D-08</t>
        </is>
      </c>
      <c r="B9" s="12" t="inlineStr">
        <is>
          <t>DPDP s.8(2) - Processor engagement by contract</t>
        </is>
      </c>
      <c r="C9" s="13" t="inlineStr">
        <is>
          <t>A data processor may be engaged only under a valid contract.</t>
        </is>
      </c>
      <c r="D9" s="12" t="inlineStr">
        <is>
          <t>Applicable - pilots</t>
        </is>
      </c>
      <c r="E9" s="12" t="inlineStr">
        <is>
          <t>Done</t>
        </is>
      </c>
      <c r="F9" s="13" t="inlineStr">
        <is>
          <t>pilots.dpa_signed must be true before status can move to ACTIVE. Enforced in server/src/routes/pilots.js; recorded on the pilot Terms tab in client/src/pages/PilotDetail.jsx.</t>
        </is>
      </c>
      <c r="G9" s="12" t="inlineStr">
        <is>
          <t>Nodal Officer</t>
        </is>
      </c>
      <c r="H9" s="12" t="inlineStr">
        <is>
          <t>31 Mar 2027</t>
        </is>
      </c>
      <c r="I9" s="13" t="inlineStr">
        <is>
          <t>The demonstration build records execution of the agreement; a live build should also store the signed instrument.</t>
        </is>
      </c>
    </row>
    <row r="10">
      <c r="A10" s="8" t="inlineStr">
        <is>
          <t>D-09</t>
        </is>
      </c>
      <c r="B10" s="8" t="inlineStr">
        <is>
          <t>DPDP s.8(3) - Completeness and accuracy</t>
        </is>
      </c>
      <c r="C10" s="4" t="inlineStr">
        <is>
          <t>Where personal data is likely to be used to make a decision affecting the data principal, it must be complete, accurate and consistent.</t>
        </is>
      </c>
      <c r="D10" s="8" t="inlineStr">
        <is>
          <t>Applicable - startups</t>
        </is>
      </c>
      <c r="E10" s="8" t="inlineStr">
        <is>
          <t>Done</t>
        </is>
      </c>
      <c r="F10" s="4" t="inlineStr">
        <is>
          <t>A startup can correct any profile fact and re-run the statutory gate on demand: PUT /api/registry/startups/me and POST /api/registry/startups/me/eligibility (FR-003). Every gate verdict stores the facts it was decided on.</t>
        </is>
      </c>
      <c r="G10" s="8" t="inlineStr">
        <is>
          <t>Startup</t>
        </is>
      </c>
      <c r="H10" s="8" t="inlineStr">
        <is>
          <t>31 Mar 2027</t>
        </is>
      </c>
      <c r="I10" s="4" t="inlineStr">
        <is>
          <t>This is the substantive answer to an adverse eligibility decision: the applicant can see the fact relied on and correct it.</t>
        </is>
      </c>
    </row>
    <row r="11">
      <c r="A11" s="12" t="inlineStr">
        <is>
          <t>D-10</t>
        </is>
      </c>
      <c r="B11" s="12" t="inlineStr">
        <is>
          <t>DPDP s.8(4) - Security safeguards</t>
        </is>
      </c>
      <c r="C11" s="13" t="inlineStr">
        <is>
          <t>Reasonable security safeguards must be implemented to prevent a personal data breach.</t>
        </is>
      </c>
      <c r="D11" s="12" t="inlineStr">
        <is>
          <t>Applicable - platform</t>
        </is>
      </c>
      <c r="E11" s="12" t="inlineStr">
        <is>
          <t>Partial</t>
        </is>
      </c>
      <c r="F11" s="13" t="inlineStr">
        <is>
          <t>bcrypt password hashing, JWT with eight-hour expiry and per-request user reload, server-side role and row-level authorisation on every route, parameterised SQL throughout, no framework HTML injection, internal error detail suppressed outside development. See AVSAR-RTM-004 Security RTM SR-001 to SR-015.</t>
        </is>
      </c>
      <c r="G11" s="12" t="inlineStr">
        <is>
          <t>Scientist-E (NIC)</t>
        </is>
      </c>
      <c r="H11" s="12" t="inlineStr">
        <is>
          <t>31 Dec 2026</t>
        </is>
      </c>
      <c r="I11" s="13" t="inlineStr">
        <is>
          <t>Gap: encryption at rest, TLS termination configuration, and VAPT by a CERT-In empanelled auditor. All are deployment-phase controls.</t>
        </is>
      </c>
    </row>
    <row r="12">
      <c r="A12" s="8" t="inlineStr">
        <is>
          <t>D-11</t>
        </is>
      </c>
      <c r="B12" s="8" t="inlineStr">
        <is>
          <t>DPDP s.8(5) - Breach notification</t>
        </is>
      </c>
      <c r="C12" s="4" t="inlineStr">
        <is>
          <t>A personal data breach must be notified to the Data Protection Board and to each affected data principal.</t>
        </is>
      </c>
      <c r="D12" s="8" t="inlineStr">
        <is>
          <t>Applicable - platform</t>
        </is>
      </c>
      <c r="E12" s="8" t="inlineStr">
        <is>
          <t>Partial</t>
        </is>
      </c>
      <c r="F12" s="4" t="inlineStr">
        <is>
          <t>The hash-chained audit log provides the forensic record needed to scope a breach: server/src/services/audit.js, verifiable via GET /api/audit/verify. The notification process itself is documented but not automated.</t>
        </is>
      </c>
      <c r="G12" s="8" t="inlineStr">
        <is>
          <t>Scientist-E (NIC)</t>
        </is>
      </c>
      <c r="H12" s="8" t="inlineStr">
        <is>
          <t>31 Dec 2026</t>
        </is>
      </c>
      <c r="I12" s="4" t="inlineStr">
        <is>
          <t>Must be read with the CERT-In six-hour incident reporting obligation, which is the tighter of the two timelines.</t>
        </is>
      </c>
    </row>
    <row r="13">
      <c r="A13" s="12" t="inlineStr">
        <is>
          <t>D-12</t>
        </is>
      </c>
      <c r="B13" s="12" t="inlineStr">
        <is>
          <t>DPDP s.8(7) - Erasure on withdrawal or purpose completion</t>
        </is>
      </c>
      <c r="C13" s="13" t="inlineStr">
        <is>
          <t>Personal data must be erased on withdrawal of consent or when the purpose is no longer being served, unless retention is required by law.</t>
        </is>
      </c>
      <c r="D13" s="12" t="inlineStr">
        <is>
          <t>Applicable - all users</t>
        </is>
      </c>
      <c r="E13" s="12" t="inlineStr">
        <is>
          <t>Partial</t>
        </is>
      </c>
      <c r="F13" s="13" t="inlineStr">
        <is>
          <t>Retention periods and erasure triggers are defined per data category in AVSAR-RET-010. Automated erasure jobs are not implemented in the demonstration build.</t>
        </is>
      </c>
      <c r="G13" s="12" t="inlineStr">
        <is>
          <t>Scientist-E (NIC)</t>
        </is>
      </c>
      <c r="H13" s="12" t="inlineStr">
        <is>
          <t>31 Mar 2027</t>
        </is>
      </c>
      <c r="I13" s="13" t="inlineStr">
        <is>
          <t>Award and audit records carry a statutory retention obligation that overrides an erasure request; the policy states which categories those are.</t>
        </is>
      </c>
    </row>
    <row r="14">
      <c r="A14" s="8" t="inlineStr">
        <is>
          <t>D-13</t>
        </is>
      </c>
      <c r="B14" s="8" t="inlineStr">
        <is>
          <t>DPDP s.8(9) - Grievance redressal</t>
        </is>
      </c>
      <c r="C14" s="4" t="inlineStr">
        <is>
          <t>The data fiduciary must publish the contact details of a person able to answer questions about processing, and provide an effective grievance redressal mechanism.</t>
        </is>
      </c>
      <c r="D14" s="8" t="inlineStr">
        <is>
          <t>Applicable - all users</t>
        </is>
      </c>
      <c r="E14" s="8" t="inlineStr">
        <is>
          <t>Done</t>
        </is>
      </c>
      <c r="F14" s="4" t="inlineStr">
        <is>
          <t>Grievance module with five declared categories and a fifteen-day SLA that escalates to the department head: server/src/routes/misc.js, client/src/pages/Grievances.jsx, grievances table.</t>
        </is>
      </c>
      <c r="G14" s="8" t="inlineStr">
        <is>
          <t>Department Head</t>
        </is>
      </c>
      <c r="H14" s="8" t="inlineStr">
        <is>
          <t>31 Mar 2027</t>
        </is>
      </c>
      <c r="I14" s="4" t="inlineStr">
        <is>
          <t>A named Data Protection Officer with published contact details is required at deployment; the mechanism is in place.</t>
        </is>
      </c>
    </row>
    <row r="15">
      <c r="A15" s="12" t="inlineStr">
        <is>
          <t>D-14</t>
        </is>
      </c>
      <c r="B15" s="12" t="inlineStr">
        <is>
          <t>DPDP s.9 - Processing of children's data</t>
        </is>
      </c>
      <c r="C15" s="13" t="inlineStr">
        <is>
          <t>Verifiable parental consent is required before processing the personal data of a child, and tracking or targeted advertising directed at children is prohibited.</t>
        </is>
      </c>
      <c r="D15" s="12" t="inlineStr">
        <is>
          <t>Not applicable</t>
        </is>
      </c>
      <c r="E15" s="12" t="inlineStr">
        <is>
          <t>Done</t>
        </is>
      </c>
      <c r="F15" s="13" t="inlineStr">
        <is>
          <t>The platform processes data of company officers and government officials only. No user category is or can be a minor; there is no advertising or tracking of any kind.</t>
        </is>
      </c>
      <c r="G15" s="12" t="inlineStr">
        <is>
          <t>Nodal Officer</t>
        </is>
      </c>
      <c r="H15" s="12" t="inlineStr">
        <is>
          <t>31 Mar 2027</t>
        </is>
      </c>
      <c r="I15" s="13" t="inlineStr">
        <is>
          <t>Applicability reassessed if a problem statement is ever published in a domain where a pilot would process children's data.</t>
        </is>
      </c>
    </row>
    <row r="16">
      <c r="A16" s="8" t="inlineStr">
        <is>
          <t>D-15</t>
        </is>
      </c>
      <c r="B16" s="8" t="inlineStr">
        <is>
          <t>DPDP s.11 - Right to access information</t>
        </is>
      </c>
      <c r="C16" s="4" t="inlineStr">
        <is>
          <t>A data principal may obtain a summary of the personal data being processed and the processing activities undertaken.</t>
        </is>
      </c>
      <c r="D16" s="8" t="inlineStr">
        <is>
          <t>Applicable - startups</t>
        </is>
      </c>
      <c r="E16" s="8" t="inlineStr">
        <is>
          <t>Partial</t>
        </is>
      </c>
      <c r="F16" s="4" t="inlineStr">
        <is>
          <t>A startup sees its own complete profile, every application with its stored gate verdict, every pilot, contract and payment. A single downloadable data-access report is not implemented.</t>
        </is>
      </c>
      <c r="G16" s="8" t="inlineStr">
        <is>
          <t>Scientist-E (NIC)</t>
        </is>
      </c>
      <c r="H16" s="8" t="inlineStr">
        <is>
          <t>31 Mar 2027</t>
        </is>
      </c>
      <c r="I16" s="4" t="inlineStr">
        <is>
          <t>The data is already visible in the interface; the gap is a machine-readable export in one action.</t>
        </is>
      </c>
    </row>
    <row r="17">
      <c r="A17" s="12" t="inlineStr">
        <is>
          <t>D-16</t>
        </is>
      </c>
      <c r="B17" s="12" t="inlineStr">
        <is>
          <t>DPDP s.12 - Right to correction and erasure</t>
        </is>
      </c>
      <c r="C17" s="13" t="inlineStr">
        <is>
          <t>A data principal may seek correction, completion, updating and erasure of their personal data.</t>
        </is>
      </c>
      <c r="D17" s="12" t="inlineStr">
        <is>
          <t>Applicable - startups</t>
        </is>
      </c>
      <c r="E17" s="12" t="inlineStr">
        <is>
          <t>Partial</t>
        </is>
      </c>
      <c r="F17" s="13" t="inlineStr">
        <is>
          <t>Correction, completion and updating are fully self-service (FR-003). Erasure is not.</t>
        </is>
      </c>
      <c r="G17" s="12" t="inlineStr">
        <is>
          <t>Scientist-E (NIC)</t>
        </is>
      </c>
      <c r="H17" s="12" t="inlineStr">
        <is>
          <t>31 Dec 2026</t>
        </is>
      </c>
      <c r="I17" s="13" t="inlineStr">
        <is>
          <t>Same gap as D-04 and D-12; erasure is the single largest open item on this tracker.</t>
        </is>
      </c>
    </row>
    <row r="18">
      <c r="A18" s="8" t="inlineStr">
        <is>
          <t>D-17</t>
        </is>
      </c>
      <c r="B18" s="8" t="inlineStr">
        <is>
          <t>DPDP s.13 - Right of grievance redressal</t>
        </is>
      </c>
      <c r="C18" s="4" t="inlineStr">
        <is>
          <t>A data principal has the right to a readily available means of grievance redressal in respect of any act or omission of the data fiduciary.</t>
        </is>
      </c>
      <c r="D18" s="8" t="inlineStr">
        <is>
          <t>Applicable - all users</t>
        </is>
      </c>
      <c r="E18" s="8" t="inlineStr">
        <is>
          <t>Done</t>
        </is>
      </c>
      <c r="F18" s="4" t="inlineStr">
        <is>
          <t>Grievance module is available to every authenticated user with a published SLA and a resolution recorded in writing on the audit trail.</t>
        </is>
      </c>
      <c r="G18" s="8" t="inlineStr">
        <is>
          <t>Department Head</t>
        </is>
      </c>
      <c r="H18" s="8" t="inlineStr">
        <is>
          <t>31 Mar 2027</t>
        </is>
      </c>
      <c r="I18" s="4" t="inlineStr">
        <is>
          <t>Resolution text is visible to the person who raised the grievance (FR-049).</t>
        </is>
      </c>
    </row>
    <row r="19">
      <c r="A19" s="12" t="inlineStr">
        <is>
          <t>D-18</t>
        </is>
      </c>
      <c r="B19" s="12" t="inlineStr">
        <is>
          <t>DPDP s.14 - Right to nominate</t>
        </is>
      </c>
      <c r="C19" s="13" t="inlineStr">
        <is>
          <t>A data principal may nominate another individual to exercise their rights in the event of death or incapacity.</t>
        </is>
      </c>
      <c r="D19" s="12" t="inlineStr">
        <is>
          <t>Applicable - startups</t>
        </is>
      </c>
      <c r="E19" s="12" t="inlineStr">
        <is>
          <t>Not Started</t>
        </is>
      </c>
      <c r="F19" s="13" t="inlineStr">
        <is>
          <t>No nomination field or flow exists.</t>
        </is>
      </c>
      <c r="G19" s="12" t="inlineStr">
        <is>
          <t>Scientist-E (NIC)</t>
        </is>
      </c>
      <c r="H19" s="12" t="inlineStr">
        <is>
          <t>31 Mar 2027</t>
        </is>
      </c>
      <c r="I19" s="13" t="inlineStr">
        <is>
          <t>Low practical impact here: the data principal is a company officer and the company persists independently. Recorded for completeness rather than dismissed.</t>
        </is>
      </c>
    </row>
    <row r="20">
      <c r="A20" s="8" t="inlineStr">
        <is>
          <t>D-19</t>
        </is>
      </c>
      <c r="B20" s="8" t="inlineStr">
        <is>
          <t>DPDP s.16 - Transfer outside India</t>
        </is>
      </c>
      <c r="C20" s="4" t="inlineStr">
        <is>
          <t>Personal data may be transferred outside India except to a territory notified as restricted.</t>
        </is>
      </c>
      <c r="D20" s="8" t="inlineStr">
        <is>
          <t>Applicable - platform</t>
        </is>
      </c>
      <c r="E20" s="8" t="inlineStr">
        <is>
          <t>Done</t>
        </is>
      </c>
      <c r="F20" s="4" t="inlineStr">
        <is>
          <t>No cross-border transfer occurs. The database is a local file in the demonstration build and is specified as India-resident for deployment. No third-party analytics, tag manager or telemetry is loaded by the client.</t>
        </is>
      </c>
      <c r="G20" s="8" t="inlineStr">
        <is>
          <t>Scientist-E (NIC)</t>
        </is>
      </c>
      <c r="H20" s="8" t="inlineStr">
        <is>
          <t>31 Mar 2027</t>
        </is>
      </c>
      <c r="I20" s="4" t="inlineStr">
        <is>
          <t>Web fonts are the only external request; they can be self-hosted for a fully air-gapped deployment.</t>
        </is>
      </c>
    </row>
    <row r="21">
      <c r="A21" s="12" t="inlineStr">
        <is>
          <t>D-20</t>
        </is>
      </c>
      <c r="B21" s="12" t="inlineStr">
        <is>
          <t>CERT-In Directions 2022 - Incident reporting</t>
        </is>
      </c>
      <c r="C21" s="13" t="inlineStr">
        <is>
          <t>A cyber security incident must be reported to CERT-In within six hours of noticing it.</t>
        </is>
      </c>
      <c r="D21" s="12" t="inlineStr">
        <is>
          <t>Applicable - platform</t>
        </is>
      </c>
      <c r="E21" s="12" t="inlineStr">
        <is>
          <t>Partial</t>
        </is>
      </c>
      <c r="F21" s="13" t="inlineStr">
        <is>
          <t>The audit trail and chain verification provide detection and scoping. The reporting runbook is documented; the on-call rota is a deployment-phase item.</t>
        </is>
      </c>
      <c r="G21" s="12" t="inlineStr">
        <is>
          <t>Scientist-E (NIC)</t>
        </is>
      </c>
      <c r="H21" s="12" t="inlineStr">
        <is>
          <t>31 Dec 2026</t>
        </is>
      </c>
      <c r="I21" s="13" t="inlineStr">
        <is>
          <t>Six hours is tighter than the DPDP notification timeline and therefore governs.</t>
        </is>
      </c>
    </row>
    <row r="22">
      <c r="A22" s="8" t="inlineStr">
        <is>
          <t>D-21</t>
        </is>
      </c>
      <c r="B22" s="8" t="inlineStr">
        <is>
          <t>CERT-In Directions 2022 - Log retention</t>
        </is>
      </c>
      <c r="C22" s="4" t="inlineStr">
        <is>
          <t>Logs must be maintained securely within Indian jurisdiction for a rolling period of 180 days.</t>
        </is>
      </c>
      <c r="D22" s="8" t="inlineStr">
        <is>
          <t>Applicable - platform</t>
        </is>
      </c>
      <c r="E22" s="8" t="inlineStr">
        <is>
          <t>Done</t>
        </is>
      </c>
      <c r="F22" s="4" t="inlineStr">
        <is>
          <t>Audit retention is configured at 180 days (server/.env.example AUDIT_RETENTION_DAYS, surfaced in server/src/config.js) and the audit_log table is append-only and hash-chained.</t>
        </is>
      </c>
      <c r="G22" s="8" t="inlineStr">
        <is>
          <t>Scientist-E (NIC)</t>
        </is>
      </c>
      <c r="H22" s="8" t="inlineStr">
        <is>
          <t>31 Mar 2027</t>
        </is>
      </c>
      <c r="I22" s="4" t="inlineStr">
        <is>
          <t>Retention is configured and the store is India-resident; automated pruning at the boundary is a deployment-phase job.</t>
        </is>
      </c>
    </row>
    <row r="23">
      <c r="A23" s="12" t="inlineStr">
        <is>
          <t>D-22</t>
        </is>
      </c>
      <c r="B23" s="12" t="inlineStr">
        <is>
          <t>CERT-In Directions 2022 - Time synchronisation</t>
        </is>
      </c>
      <c r="C23" s="13" t="inlineStr">
        <is>
          <t>Systems must synchronise clocks to the NIC or NPL network time protocol servers.</t>
        </is>
      </c>
      <c r="D23" s="12" t="inlineStr">
        <is>
          <t>Applicable - platform</t>
        </is>
      </c>
      <c r="E23" s="12" t="inlineStr">
        <is>
          <t>Not Started</t>
        </is>
      </c>
      <c r="F23" s="13" t="inlineStr">
        <is>
          <t>Host clock configuration is outside the demonstration build.</t>
        </is>
      </c>
      <c r="G23" s="12" t="inlineStr">
        <is>
          <t>Scientist-E (NIC)</t>
        </is>
      </c>
      <c r="H23" s="12" t="inlineStr">
        <is>
          <t>31 Dec 2026</t>
        </is>
      </c>
      <c r="I23" s="13" t="inlineStr">
        <is>
          <t>Material to the audit trail: an unsynchronised clock weakens the evidentiary value of every timestamp in the chain.</t>
        </is>
      </c>
    </row>
    <row r="24">
      <c r="A24" s="8" t="inlineStr">
        <is>
          <t>D-23</t>
        </is>
      </c>
      <c r="B24" s="8" t="inlineStr">
        <is>
          <t>CERT-In Directions 2022 - Vulnerability assessment</t>
        </is>
      </c>
      <c r="C24" s="4" t="inlineStr">
        <is>
          <t>A vulnerability assessment and penetration test should be conducted by a CERT-In empanelled auditor.</t>
        </is>
      </c>
      <c r="D24" s="8" t="inlineStr">
        <is>
          <t>Applicable - platform</t>
        </is>
      </c>
      <c r="E24" s="8" t="inlineStr">
        <is>
          <t>Not Started</t>
        </is>
      </c>
      <c r="F24" s="4" t="inlineStr">
        <is>
          <t>Not conducted. Recorded as a hard precondition for any live deployment (SR-017).</t>
        </is>
      </c>
      <c r="G24" s="8" t="inlineStr">
        <is>
          <t>Mission Director</t>
        </is>
      </c>
      <c r="H24" s="8" t="inlineStr">
        <is>
          <t>31 Jan 2027</t>
        </is>
      </c>
      <c r="I24" s="4" t="inlineStr">
        <is>
          <t>No live award may be made on the platform before this is complete.</t>
        </is>
      </c>
    </row>
    <row r="25">
      <c r="A25" s="12" t="inlineStr">
        <is>
          <t>D-24</t>
        </is>
      </c>
      <c r="B25" s="12" t="inlineStr">
        <is>
          <t>GIGW 3.0 / WCAG 2.1 AA - Accessibility</t>
        </is>
      </c>
      <c r="C25" s="13" t="inlineStr">
        <is>
          <t>A government website must meet the Guidelines for Indian Government Websites and WCAG 2.1 level AA.</t>
        </is>
      </c>
      <c r="D25" s="12" t="inlineStr">
        <is>
          <t>Applicable - platform</t>
        </is>
      </c>
      <c r="E25" s="12" t="inlineStr">
        <is>
          <t>Partial</t>
        </is>
      </c>
      <c r="F25" s="13" t="inlineStr">
        <is>
          <t>Semantic landmarks, skip link, focus-visible never suppressed, no meaning carried by colour alone (client/src/lib/status.js pairs every colour with a text label), ARIA on live regions and progress bars, reduced-motion honoured (client/src/styles/base.css).</t>
        </is>
      </c>
      <c r="G25" s="12" t="inlineStr">
        <is>
          <t>Design lead</t>
        </is>
      </c>
      <c r="H25" s="12" t="inlineStr">
        <is>
          <t>31 Jan 2027</t>
        </is>
      </c>
      <c r="I25" s="13" t="inlineStr">
        <is>
          <t>Self-assessed against the standard. A third-party conformance audit is scheduled and is not yet done; do not claim certified conformance.</t>
        </is>
      </c>
    </row>
    <row r="26">
      <c r="A26" s="8" t="inlineStr">
        <is>
          <t>D-25</t>
        </is>
      </c>
      <c r="B26" s="8" t="inlineStr">
        <is>
          <t>GFR 2017 / CAG - Audit trail integrity</t>
        </is>
      </c>
      <c r="C26" s="4" t="inlineStr">
        <is>
          <t>Procurement decisions must be supported by a record that an auditor can rely on.</t>
        </is>
      </c>
      <c r="D26" s="8" t="inlineStr">
        <is>
          <t>Applicable - platform</t>
        </is>
      </c>
      <c r="E26" s="8" t="inlineStr">
        <is>
          <t>Done</t>
        </is>
      </c>
      <c r="F26" s="4" t="inlineStr">
        <is>
          <t>Append-only SHA-256 hash-chained audit log; every entry chains its predecessor so a retrospective edit invalidates all subsequent links. Verification is exposed at GET /api/audit/verify and in the Administration screen, and is asserted by the end-to-end suite after a full lifecycle run.</t>
        </is>
      </c>
      <c r="G26" s="8" t="inlineStr">
        <is>
          <t>Scientist-E (NIC)</t>
        </is>
      </c>
      <c r="H26" s="8" t="inlineStr">
        <is>
          <t>31 Mar 2027</t>
        </is>
      </c>
      <c r="I26" s="4" t="inlineStr">
        <is>
          <t>This is the control that makes an evidence-gated single-source award defensible.</t>
        </is>
      </c>
    </row>
  </sheetData>
  <autoFilter ref="A1:I26"/>
  <dataValidations count="1">
    <dataValidation sqref="E2:E26" showDropDown="0" showInputMessage="0" showErrorMessage="0" allowBlank="1" type="list">
      <formula1>"Done,Partial,Not Started,N/A"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60" customWidth="1" min="3" max="3"/>
  </cols>
  <sheetData>
    <row r="1">
      <c r="A1" s="14" t="inlineStr">
        <is>
          <t>DPDP compliance - summary</t>
        </is>
      </c>
    </row>
    <row r="3">
      <c r="A3" s="15" t="inlineStr">
        <is>
          <t>Obligations assessed</t>
        </is>
      </c>
      <c r="B3" s="16">
        <f>COUNTA('DPDP Tracker'!A2:A26)</f>
        <v/>
      </c>
      <c r="C3" s="17" t="inlineStr">
        <is>
          <t>Total rows on the tracker</t>
        </is>
      </c>
    </row>
    <row r="4">
      <c r="A4" s="15" t="inlineStr">
        <is>
          <t>Done</t>
        </is>
      </c>
      <c r="B4" s="16">
        <f>COUNTIF('DPDP Tracker'!E2:E26,"Done")</f>
        <v/>
      </c>
      <c r="C4" s="17" t="inlineStr">
        <is>
          <t>Implemented and evidenced</t>
        </is>
      </c>
    </row>
    <row r="5">
      <c r="A5" s="15" t="inlineStr">
        <is>
          <t>Partial</t>
        </is>
      </c>
      <c r="B5" s="16">
        <f>COUNTIF('DPDP Tracker'!E2:E26,"Partial")</f>
        <v/>
      </c>
      <c r="C5" s="17" t="inlineStr">
        <is>
          <t>Gap stated in the Notes column</t>
        </is>
      </c>
    </row>
    <row r="6">
      <c r="A6" s="15" t="inlineStr">
        <is>
          <t>Not Started</t>
        </is>
      </c>
      <c r="B6" s="16">
        <f>COUNTIF('DPDP Tracker'!E2:E26,"Not Started")</f>
        <v/>
      </c>
      <c r="C6" s="17" t="inlineStr">
        <is>
          <t>Owner and target date recorded</t>
        </is>
      </c>
    </row>
    <row r="7">
      <c r="A7" s="15" t="inlineStr">
        <is>
          <t>Not applicable</t>
        </is>
      </c>
      <c r="B7" s="16">
        <f>COUNTIF('DPDP Tracker'!E2:E26,"N/A")</f>
        <v/>
      </c>
      <c r="C7" s="17" t="inlineStr">
        <is>
          <t>Excluded from the completion figure</t>
        </is>
      </c>
    </row>
    <row r="8">
      <c r="A8" s="15" t="inlineStr">
        <is>
          <t>Applicable obligations</t>
        </is>
      </c>
      <c r="B8" s="16">
        <f>(COUNTA('DPDP Tracker'!A2:A26)-COUNTIF('DPDP Tracker'!E2:E26,"N/A"))</f>
        <v/>
      </c>
      <c r="C8" s="17" t="inlineStr">
        <is>
          <t>Assessed minus not applicable</t>
        </is>
      </c>
    </row>
    <row r="9">
      <c r="A9" s="15" t="inlineStr">
        <is>
          <t>Completion (Partial counted as half)</t>
        </is>
      </c>
      <c r="B9" s="16">
        <f>ROUND((COUNTIF('DPDP Tracker'!E2:E26,"Done")+0.5*COUNTIF('DPDP Tracker'!E2:E26,"Partial"))/(COUNTA('DPDP Tracker'!A2:A26)-COUNTIF('DPDP Tracker'!E2:E26,"N/A")),3)</f>
        <v/>
      </c>
      <c r="C9" s="17" t="inlineStr">
        <is>
          <t>Format as a percentage; the headline figure</t>
        </is>
      </c>
    </row>
    <row r="10">
      <c r="A10" s="15" t="inlineStr">
        <is>
          <t>Strict completion (Done only)</t>
        </is>
      </c>
      <c r="B10" s="16">
        <f>ROUND(COUNTIF('DPDP Tracker'!E2:E26,"Done")/(COUNTA('DPDP Tracker'!A2:A26)-COUNTIF('DPDP Tracker'!E2:E26,"N/A")),3)</f>
        <v/>
      </c>
      <c r="C10" s="17" t="inlineStr">
        <is>
          <t>The figure to quote if asked for the conservative number</t>
        </is>
      </c>
    </row>
    <row r="11">
      <c r="A11" s="15" t="inlineStr">
        <is>
          <t>DPDP Act obligations</t>
        </is>
      </c>
      <c r="B11" s="16">
        <f>COUNTIF('DPDP Tracker'!B2:B26,"DPDP*")</f>
        <v/>
      </c>
      <c r="C11" s="17" t="inlineStr">
        <is>
          <t>Sections 4 to 16</t>
        </is>
      </c>
    </row>
    <row r="12">
      <c r="A12" s="15" t="inlineStr">
        <is>
          <t>CERT-In obligations</t>
        </is>
      </c>
      <c r="B12" s="16">
        <f>COUNTIF('DPDP Tracker'!B2:B26,"CERT-In*")</f>
        <v/>
      </c>
      <c r="C12" s="17" t="inlineStr">
        <is>
          <t>Directions of 2022</t>
        </is>
      </c>
    </row>
    <row r="13">
      <c r="A13" s="15" t="inlineStr">
        <is>
          <t>Open items due by 31 Dec 2026</t>
        </is>
      </c>
      <c r="B13" s="16">
        <f>COUNTIFS('DPDP Tracker'!H2:H26,"31 Dec 2026")</f>
        <v/>
      </c>
      <c r="C13" s="17" t="inlineStr">
        <is>
          <t>The near-term remediation set</t>
        </is>
      </c>
    </row>
    <row r="14">
      <c r="A14" s="15" t="inlineStr">
        <is>
          <t>Rows with no evidence recorded</t>
        </is>
      </c>
      <c r="B14" s="16">
        <f>COUNTIF('DPDP Tracker'!F2:F26,"")</f>
        <v/>
      </c>
      <c r="C14" s="17" t="inlineStr">
        <is>
          <t>Must be zero; a Not Started row still states why</t>
        </is>
      </c>
    </row>
    <row r="15">
      <c r="A15" s="15" t="inlineStr">
        <is>
          <t>Rows with no owner</t>
        </is>
      </c>
      <c r="B15" s="16">
        <f>COUNTIF('DPDP Tracker'!G2:G26,"")</f>
        <v/>
      </c>
      <c r="C15" s="17" t="inlineStr">
        <is>
          <t>Must be zero</t>
        </is>
      </c>
    </row>
    <row r="17">
      <c r="A17" s="18" t="inlineStr">
        <is>
          <t>Reviewed every six months, and immediately on any change to the data model, a new integration, or an amendment to the Act or the Directions. Next scheduled review: 31 March 2027.</t>
        </is>
      </c>
    </row>
  </sheetData>
  <mergeCells count="1"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2026-09-03T15:39:47Z</dcterms:created>
  <dcterms:modified xmlns:dcterms="http://purl.org/dc/terms/" xmlns:xsi="http://www.w3.org/2001/XMLSchema-instance" xsi:type="dcterms:W3CDTF">2026-09-03T15:39:47Z</dcterms:modified>
</cp:coreProperties>
</file>