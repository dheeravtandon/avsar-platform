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'Cover'!$A$15:$D$16</definedName>
    <definedName name="_xlnm._FilterDatabase" localSheetId="1" hidden="1">'Timeline'!$A$1:$H$17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B2447"/>
      <sz val="16"/>
    </font>
    <font>
      <name val="Calibri"/>
      <color rgb="0005639E"/>
      <sz val="13"/>
    </font>
    <font>
      <name val="Calibri"/>
      <b val="1"/>
      <color rgb="000B2447"/>
      <sz val="10"/>
    </font>
    <font>
      <name val="Calibri"/>
      <color rgb="00344054"/>
      <sz val="10"/>
    </font>
    <font>
      <name val="Calibri"/>
      <b val="1"/>
      <color rgb="00FFFFFF"/>
      <sz val="10"/>
    </font>
    <font>
      <name val="Calibri"/>
      <b val="1"/>
      <color rgb="000B2447"/>
      <sz val="14"/>
    </font>
    <font>
      <name val="Calibri"/>
      <b val="1"/>
      <color rgb="000B2447"/>
      <sz val="9"/>
    </font>
    <font>
      <name val="Calibri"/>
      <b val="1"/>
      <color rgb="00FFFFFF"/>
      <sz val="8"/>
    </font>
    <font>
      <name val="Calibri"/>
      <b val="1"/>
      <color rgb="00344054"/>
      <sz val="10"/>
    </font>
    <font>
      <name val="Calibri"/>
      <color rgb="00667085"/>
      <sz val="10"/>
    </font>
  </fonts>
  <fills count="6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0B2447"/>
      </patternFill>
    </fill>
    <fill>
      <patternFill patternType="solid">
        <fgColor rgb="00F9FAFB"/>
      </patternFill>
    </fill>
    <fill>
      <patternFill patternType="solid">
        <fgColor rgb="00C26A0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0" pivotButton="0" quotePrefix="0" xfId="0"/>
    <xf numFmtId="0" fontId="8" fillId="3" borderId="0" applyAlignment="1" pivotButton="0" quotePrefix="0" xfId="0">
      <alignment horizontal="center" wrapText="1"/>
    </xf>
    <xf numFmtId="0" fontId="9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9" fillId="2" borderId="1" pivotButton="0" quotePrefix="0" xfId="0"/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74" customWidth="1" min="4" max="4"/>
  </cols>
  <sheetData>
    <row r="1">
      <c r="A1" s="1" t="inlineStr">
        <is>
          <t>AVSAR - Startup-Friendly Public Procurement Platform</t>
        </is>
      </c>
    </row>
    <row r="2">
      <c r="A2" s="2" t="inlineStr">
        <is>
          <t>Project Timeline</t>
        </is>
      </c>
    </row>
    <row r="4">
      <c r="A4" s="3" t="inlineStr">
        <is>
          <t>Document ID</t>
        </is>
      </c>
      <c r="B4" s="4" t="inlineStr">
        <is>
          <t>AVSAR-TML-008</t>
        </is>
      </c>
    </row>
    <row r="5">
      <c r="A5" s="3" t="inlineStr">
        <is>
          <t>Version</t>
        </is>
      </c>
      <c r="B5" s="4" t="inlineStr">
        <is>
          <t>1.0</t>
        </is>
      </c>
    </row>
    <row r="6">
      <c r="A6" s="3" t="inlineStr">
        <is>
          <t>Date</t>
        </is>
      </c>
      <c r="B6" s="4" t="inlineStr">
        <is>
          <t>03 September 2026</t>
        </is>
      </c>
    </row>
    <row r="7">
      <c r="A7" s="3" t="inlineStr">
        <is>
          <t>Prepared by</t>
        </is>
      </c>
      <c r="B7" s="4" t="inlineStr">
        <is>
          <t>TandSol</t>
        </is>
      </c>
    </row>
    <row r="8">
      <c r="A8" s="3" t="inlineStr">
        <is>
          <t>Status</t>
        </is>
      </c>
      <c r="B8" s="4" t="inlineStr">
        <is>
          <t>Living</t>
        </is>
      </c>
    </row>
    <row r="9">
      <c r="A9" s="3" t="inlineStr">
        <is>
          <t>Related documents</t>
        </is>
      </c>
      <c r="B9" s="4" t="inlineStr">
        <is>
          <t>AVSAR-HBK-001, AVSAR-CHR-002, AVSAR-PMP-003, AVSAR-RTM-004, AVSAR-SDD-005, AVSAR-CDR-006, AVSAR-RSK-007, AVSAR-DPD-009, AVSAR-RET-010, AVSAR-QAB-011</t>
        </is>
      </c>
    </row>
    <row r="10">
      <c r="A10" s="3" t="inlineStr">
        <is>
          <t>Classification</t>
        </is>
      </c>
      <c r="B10" s="4" t="inlineStr">
        <is>
          <t>Internal - Smart India Hackathon submission</t>
        </is>
      </c>
    </row>
    <row r="12" ht="58" customHeight="1">
      <c r="A12" s="5" t="inlineStr">
        <is>
          <t>Purpose</t>
        </is>
      </c>
      <c r="B12" s="6" t="inlineStr">
        <is>
          <t>Phase plan and week-level Gantt for the AVSAR programme, from policy mapping through the hackathon submission and on to deployment readiness. Phases marked Parallel overlap deliberately, which is what allows a five-stage mechanism to be built and tested inside a single quarter.</t>
        </is>
      </c>
    </row>
    <row r="14">
      <c r="A14" s="5" t="inlineStr">
        <is>
          <t>Revision history</t>
        </is>
      </c>
    </row>
    <row r="15" ht="30" customHeight="1">
      <c r="A15" s="7" t="inlineStr">
        <is>
          <t>Version</t>
        </is>
      </c>
      <c r="B15" s="7" t="inlineStr">
        <is>
          <t>Date</t>
        </is>
      </c>
      <c r="C15" s="7" t="inlineStr">
        <is>
          <t>Author</t>
        </is>
      </c>
      <c r="D15" s="7" t="inlineStr">
        <is>
          <t>Change</t>
        </is>
      </c>
    </row>
    <row r="16">
      <c r="A16" s="8" t="inlineStr">
        <is>
          <t>1.0</t>
        </is>
      </c>
      <c r="B16" s="8" t="inlineStr">
        <is>
          <t>03 Sep 2026</t>
        </is>
      </c>
      <c r="C16" s="8" t="inlineStr">
        <is>
          <t>TandSol</t>
        </is>
      </c>
      <c r="D16" s="4" t="inlineStr">
        <is>
          <t>Baseline. Sixteen phases; fourteen weeks to submission plus two quarters of deployment readiness.</t>
        </is>
      </c>
    </row>
    <row r="19">
      <c r="A19" s="5" t="inlineStr">
        <is>
          <t>Critical path</t>
        </is>
      </c>
      <c r="B19" s="6" t="inlineStr">
        <is>
          <t>P1 - P2 - P3 - P5 - P6 - P12 - P15. The design-system and client phases run alongside the API and are not on the critical path.</t>
        </is>
      </c>
    </row>
    <row r="20">
      <c r="A20" s="5" t="inlineStr">
        <is>
          <t>Milestones</t>
        </is>
      </c>
      <c r="B20" s="6" t="inlineStr">
        <is>
          <t>M1 RTM baselined (01 Aug) - M2 schema and workflow frozen (15 Aug) - M3 API feature complete (08 Sep) - M4 client feature complete (12 Sep) - M5 end-to-end suite green (17 Sep) - M6 submission (30 Sep)</t>
        </is>
      </c>
    </row>
  </sheetData>
  <autoFilter ref="A15:D16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2" customWidth="1" min="3" max="3"/>
    <col width="13" customWidth="1" min="4" max="4"/>
    <col width="13" customWidth="1" min="5" max="5"/>
    <col width="13" customWidth="1" min="6" max="6"/>
    <col width="20" customWidth="1" min="7" max="7"/>
    <col width="12" customWidth="1" min="8" max="8"/>
  </cols>
  <sheetData>
    <row r="1" ht="30" customHeight="1">
      <c r="A1" s="7" t="inlineStr">
        <is>
          <t>Phase</t>
        </is>
      </c>
      <c r="B1" s="7" t="inlineStr">
        <is>
          <t>Phase name</t>
        </is>
      </c>
      <c r="C1" s="7" t="inlineStr">
        <is>
          <t>Activities</t>
        </is>
      </c>
      <c r="D1" s="7" t="inlineStr">
        <is>
          <t>Start</t>
        </is>
      </c>
      <c r="E1" s="7" t="inlineStr">
        <is>
          <t>End</t>
        </is>
      </c>
      <c r="F1" s="7" t="inlineStr">
        <is>
          <t>Duration (working days)</t>
        </is>
      </c>
      <c r="G1" s="7" t="inlineStr">
        <is>
          <t>Owner</t>
        </is>
      </c>
      <c r="H1" s="7" t="inlineStr">
        <is>
          <t>Mode</t>
        </is>
      </c>
    </row>
    <row r="2">
      <c r="A2" s="8" t="inlineStr">
        <is>
          <t>P1</t>
        </is>
      </c>
      <c r="B2" s="8" t="inlineStr">
        <is>
          <t>Discovery and policy mapping</t>
        </is>
      </c>
      <c r="C2" s="4" t="inlineStr">
        <is>
          <t>Map the statutory basis; confirm which GFR relaxations apply and what they require on the file. Interview procurement and nodal officers on where a startup bid actually fails today.</t>
        </is>
      </c>
      <c r="D2" s="8" t="inlineStr">
        <is>
          <t>01 Jul 2026</t>
        </is>
      </c>
      <c r="E2" s="8" t="inlineStr">
        <is>
          <t>18 Jul 2026</t>
        </is>
      </c>
      <c r="F2" s="8" t="n">
        <v>14</v>
      </c>
      <c r="G2" s="8" t="inlineStr">
        <is>
          <t>Policy lead</t>
        </is>
      </c>
      <c r="H2" s="8" t="inlineStr">
        <is>
          <t>Sequential</t>
        </is>
      </c>
    </row>
    <row r="3">
      <c r="A3" s="9" t="inlineStr">
        <is>
          <t>P2</t>
        </is>
      </c>
      <c r="B3" s="9" t="inlineStr">
        <is>
          <t>Charter and requirements</t>
        </is>
      </c>
      <c r="C3" s="10" t="inlineStr">
        <is>
          <t>Write the Charter; derive and baseline the RTM; agree the five-stage model and the gate at each boundary.</t>
        </is>
      </c>
      <c r="D3" s="9" t="inlineStr">
        <is>
          <t>21 Jul 2026</t>
        </is>
      </c>
      <c r="E3" s="9" t="inlineStr">
        <is>
          <t>01 Aug 2026</t>
        </is>
      </c>
      <c r="F3" s="9" t="n">
        <v>10</v>
      </c>
      <c r="G3" s="9" t="inlineStr">
        <is>
          <t>Project manager</t>
        </is>
      </c>
      <c r="H3" s="9" t="inlineStr">
        <is>
          <t>Sequential</t>
        </is>
      </c>
    </row>
    <row r="4">
      <c r="A4" s="8" t="inlineStr">
        <is>
          <t>P3</t>
        </is>
      </c>
      <c r="B4" s="8" t="inlineStr">
        <is>
          <t>Data model and workflow design</t>
        </is>
      </c>
      <c r="C4" s="4" t="inlineStr">
        <is>
          <t>Seventeen-table schema; declare every legal state transition in one module; design the eligibility gate so each check cites its rule.</t>
        </is>
      </c>
      <c r="D4" s="8" t="inlineStr">
        <is>
          <t>04 Aug 2026</t>
        </is>
      </c>
      <c r="E4" s="8" t="inlineStr">
        <is>
          <t>15 Aug 2026</t>
        </is>
      </c>
      <c r="F4" s="8" t="n">
        <v>10</v>
      </c>
      <c r="G4" s="8" t="inlineStr">
        <is>
          <t>Solution architect</t>
        </is>
      </c>
      <c r="H4" s="8" t="inlineStr">
        <is>
          <t>Sequential</t>
        </is>
      </c>
    </row>
    <row r="5">
      <c r="A5" s="9" t="inlineStr">
        <is>
          <t>P4</t>
        </is>
      </c>
      <c r="B5" s="9" t="inlineStr">
        <is>
          <t>Design system</t>
        </is>
      </c>
      <c r="C5" s="10" t="inlineStr">
        <is>
          <t>Token layer, component layer, accessibility policy, dense-table and form patterns. Built in parallel with the API so screens are never blocked on styling.</t>
        </is>
      </c>
      <c r="D5" s="9" t="inlineStr">
        <is>
          <t>11 Aug 2026</t>
        </is>
      </c>
      <c r="E5" s="9" t="inlineStr">
        <is>
          <t>22 Aug 2026</t>
        </is>
      </c>
      <c r="F5" s="9" t="n">
        <v>10</v>
      </c>
      <c r="G5" s="9" t="inlineStr">
        <is>
          <t>Design lead</t>
        </is>
      </c>
      <c r="H5" s="9" t="inlineStr">
        <is>
          <t>Parallel</t>
        </is>
      </c>
    </row>
    <row r="6">
      <c r="A6" s="8" t="inlineStr">
        <is>
          <t>P5</t>
        </is>
      </c>
      <c r="B6" s="8" t="inlineStr">
        <is>
          <t>API - identity and challenge</t>
        </is>
      </c>
      <c r="C6" s="4" t="inlineStr">
        <is>
          <t>Authentication, role authorisation, startup registration with the statutory gate, problem statement authoring, approval and publication.</t>
        </is>
      </c>
      <c r="D6" s="8" t="inlineStr">
        <is>
          <t>18 Aug 2026</t>
        </is>
      </c>
      <c r="E6" s="8" t="inlineStr">
        <is>
          <t>27 Aug 2026</t>
        </is>
      </c>
      <c r="F6" s="8" t="n">
        <v>8</v>
      </c>
      <c r="G6" s="8" t="inlineStr">
        <is>
          <t>Backend engineer</t>
        </is>
      </c>
      <c r="H6" s="8" t="inlineStr">
        <is>
          <t>Sequential</t>
        </is>
      </c>
    </row>
    <row r="7">
      <c r="A7" s="9" t="inlineStr">
        <is>
          <t>P6</t>
        </is>
      </c>
      <c r="B7" s="9" t="inlineStr">
        <is>
          <t>API - evaluation and pilot</t>
        </is>
      </c>
      <c r="C7" s="10" t="inlineStr">
        <is>
          <t>Application submission through both gates, committee assignment, blind scoring with lock, pilot creation, DPDP precondition, milestones, KPI readings.</t>
        </is>
      </c>
      <c r="D7" s="9" t="inlineStr">
        <is>
          <t>25 Aug 2026</t>
        </is>
      </c>
      <c r="E7" s="9" t="inlineStr">
        <is>
          <t>03 Sep 2026</t>
        </is>
      </c>
      <c r="F7" s="9" t="n">
        <v>8</v>
      </c>
      <c r="G7" s="9" t="inlineStr">
        <is>
          <t>Backend engineer</t>
        </is>
      </c>
      <c r="H7" s="9" t="inlineStr">
        <is>
          <t>Parallel</t>
        </is>
      </c>
    </row>
    <row r="8">
      <c r="A8" s="8" t="inlineStr">
        <is>
          <t>P7</t>
        </is>
      </c>
      <c r="B8" s="8" t="inlineStr">
        <is>
          <t>API - procurement and registry</t>
        </is>
      </c>
      <c r="C8" s="4" t="inlineStr">
        <is>
          <t>Evidence-gated procurement with GFR modes, purchase orders, payment ledger with the statutory clock, Proven Solutions Registry and cross-department adoption.</t>
        </is>
      </c>
      <c r="D8" s="8" t="inlineStr">
        <is>
          <t>28 Aug 2026</t>
        </is>
      </c>
      <c r="E8" s="8" t="inlineStr">
        <is>
          <t>05 Sep 2026</t>
        </is>
      </c>
      <c r="F8" s="8" t="n">
        <v>7</v>
      </c>
      <c r="G8" s="8" t="inlineStr">
        <is>
          <t>Backend engineer</t>
        </is>
      </c>
      <c r="H8" s="8" t="inlineStr">
        <is>
          <t>Parallel</t>
        </is>
      </c>
    </row>
    <row r="9">
      <c r="A9" s="9" t="inlineStr">
        <is>
          <t>P8</t>
        </is>
      </c>
      <c r="B9" s="9" t="inlineStr">
        <is>
          <t>Audit and transparency</t>
        </is>
      </c>
      <c r="C9" s="10" t="inlineStr">
        <is>
          <t>Hash-chained audit trail and verification, public transparency board with the conversion funnel and cycle-time medians.</t>
        </is>
      </c>
      <c r="D9" s="9" t="inlineStr">
        <is>
          <t>01 Sep 2026</t>
        </is>
      </c>
      <c r="E9" s="9" t="inlineStr">
        <is>
          <t>08 Sep 2026</t>
        </is>
      </c>
      <c r="F9" s="9" t="n">
        <v>6</v>
      </c>
      <c r="G9" s="9" t="inlineStr">
        <is>
          <t>Backend engineer</t>
        </is>
      </c>
      <c r="H9" s="9" t="inlineStr">
        <is>
          <t>Parallel</t>
        </is>
      </c>
    </row>
    <row r="10">
      <c r="A10" s="8" t="inlineStr">
        <is>
          <t>P9</t>
        </is>
      </c>
      <c r="B10" s="8" t="inlineStr">
        <is>
          <t>Client - public site</t>
        </is>
      </c>
      <c r="C10" s="4" t="inlineStr">
        <is>
          <t>Landing, reference, transparency board, public problem statements, startup registry, proven solutions, registration and sign-in.</t>
        </is>
      </c>
      <c r="D10" s="8" t="inlineStr">
        <is>
          <t>25 Aug 2026</t>
        </is>
      </c>
      <c r="E10" s="8" t="inlineStr">
        <is>
          <t>05 Sep 2026</t>
        </is>
      </c>
      <c r="F10" s="8" t="n">
        <v>10</v>
      </c>
      <c r="G10" s="8" t="inlineStr">
        <is>
          <t>Frontend engineer</t>
        </is>
      </c>
      <c r="H10" s="8" t="inlineStr">
        <is>
          <t>Parallel</t>
        </is>
      </c>
    </row>
    <row r="11">
      <c r="A11" s="9" t="inlineStr">
        <is>
          <t>P10</t>
        </is>
      </c>
      <c r="B11" s="9" t="inlineStr">
        <is>
          <t>Client - role workspaces</t>
        </is>
      </c>
      <c r="C11" s="10" t="inlineStr">
        <is>
          <t>Seven role-aware workspaces across thirty-one routes: authoring, discovery, scoring, pilot monitoring, procurement, payments, grievance, audit and administration.</t>
        </is>
      </c>
      <c r="D11" s="9" t="inlineStr">
        <is>
          <t>01 Sep 2026</t>
        </is>
      </c>
      <c r="E11" s="9" t="inlineStr">
        <is>
          <t>12 Sep 2026</t>
        </is>
      </c>
      <c r="F11" s="9" t="n">
        <v>10</v>
      </c>
      <c r="G11" s="9" t="inlineStr">
        <is>
          <t>Frontend engineer</t>
        </is>
      </c>
      <c r="H11" s="9" t="inlineStr">
        <is>
          <t>Parallel</t>
        </is>
      </c>
    </row>
    <row r="12">
      <c r="A12" s="8" t="inlineStr">
        <is>
          <t>P11</t>
        </is>
      </c>
      <c r="B12" s="8" t="inlineStr">
        <is>
          <t>Seed dataset</t>
        </is>
      </c>
      <c r="C12" s="4" t="inlineStr">
        <is>
          <t>A deterministic dataset that exercises every state in the workflow, so a reviewer sees the whole lifecycle without clicking through it.</t>
        </is>
      </c>
      <c r="D12" s="8" t="inlineStr">
        <is>
          <t>08 Sep 2026</t>
        </is>
      </c>
      <c r="E12" s="8" t="inlineStr">
        <is>
          <t>12 Sep 2026</t>
        </is>
      </c>
      <c r="F12" s="8" t="n">
        <v>5</v>
      </c>
      <c r="G12" s="8" t="inlineStr">
        <is>
          <t>Backend engineer</t>
        </is>
      </c>
      <c r="H12" s="8" t="inlineStr">
        <is>
          <t>Parallel</t>
        </is>
      </c>
    </row>
    <row r="13">
      <c r="A13" s="9" t="inlineStr">
        <is>
          <t>P12</t>
        </is>
      </c>
      <c r="B13" s="9" t="inlineStr">
        <is>
          <t>End-to-end test suite</t>
        </is>
      </c>
      <c r="C13" s="10" t="inlineStr">
        <is>
          <t>Thirty-two assertions across all five stages and the cross-cutting controls, against a live API on a throwaway database.</t>
        </is>
      </c>
      <c r="D13" s="9" t="inlineStr">
        <is>
          <t>10 Sep 2026</t>
        </is>
      </c>
      <c r="E13" s="9" t="inlineStr">
        <is>
          <t>17 Sep 2026</t>
        </is>
      </c>
      <c r="F13" s="9" t="n">
        <v>6</v>
      </c>
      <c r="G13" s="9" t="inlineStr">
        <is>
          <t>QA lead</t>
        </is>
      </c>
      <c r="H13" s="9" t="inlineStr">
        <is>
          <t>Sequential</t>
        </is>
      </c>
    </row>
    <row r="14">
      <c r="A14" s="8" t="inlineStr">
        <is>
          <t>P13</t>
        </is>
      </c>
      <c r="B14" s="8" t="inlineStr">
        <is>
          <t>Document set</t>
        </is>
      </c>
      <c r="C14" s="4" t="inlineStr">
        <is>
          <t>The ten-document PM-SETU set with a live traceability chain from Charter to Risk Register.</t>
        </is>
      </c>
      <c r="D14" s="8" t="inlineStr">
        <is>
          <t>15 Sep 2026</t>
        </is>
      </c>
      <c r="E14" s="8" t="inlineStr">
        <is>
          <t>24 Sep 2026</t>
        </is>
      </c>
      <c r="F14" s="8" t="n">
        <v>8</v>
      </c>
      <c r="G14" s="8" t="inlineStr">
        <is>
          <t>Project manager</t>
        </is>
      </c>
      <c r="H14" s="8" t="inlineStr">
        <is>
          <t>Parallel</t>
        </is>
      </c>
    </row>
    <row r="15">
      <c r="A15" s="9" t="inlineStr">
        <is>
          <t>P14</t>
        </is>
      </c>
      <c r="B15" s="9" t="inlineStr">
        <is>
          <t>Accessibility and security pass</t>
        </is>
      </c>
      <c r="C15" s="10" t="inlineStr">
        <is>
          <t>Keyboard traversal, contrast and screen-reader review; dependency audit; secrets and error-disclosure review.</t>
        </is>
      </c>
      <c r="D15" s="9" t="inlineStr">
        <is>
          <t>18 Sep 2026</t>
        </is>
      </c>
      <c r="E15" s="9" t="inlineStr">
        <is>
          <t>25 Sep 2026</t>
        </is>
      </c>
      <c r="F15" s="9" t="n">
        <v>6</v>
      </c>
      <c r="G15" s="9" t="inlineStr">
        <is>
          <t>QA lead</t>
        </is>
      </c>
      <c r="H15" s="9" t="inlineStr">
        <is>
          <t>Parallel</t>
        </is>
      </c>
    </row>
    <row r="16">
      <c r="A16" s="8" t="inlineStr">
        <is>
          <t>P15</t>
        </is>
      </c>
      <c r="B16" s="8" t="inlineStr">
        <is>
          <t>Hackathon submission and demonstration</t>
        </is>
      </c>
      <c r="C16" s="4" t="inlineStr">
        <is>
          <t>Demonstration script, question bank, rehearsal against each role, submission.</t>
        </is>
      </c>
      <c r="D16" s="8" t="inlineStr">
        <is>
          <t>25 Sep 2026</t>
        </is>
      </c>
      <c r="E16" s="8" t="inlineStr">
        <is>
          <t>30 Sep 2026</t>
        </is>
      </c>
      <c r="F16" s="8" t="n">
        <v>4</v>
      </c>
      <c r="G16" s="8" t="inlineStr">
        <is>
          <t>Project manager</t>
        </is>
      </c>
      <c r="H16" s="8" t="inlineStr">
        <is>
          <t>Sequential</t>
        </is>
      </c>
    </row>
    <row r="17">
      <c r="A17" s="9" t="inlineStr">
        <is>
          <t>P16</t>
        </is>
      </c>
      <c r="B17" s="9" t="inlineStr">
        <is>
          <t>Deployment readiness (post-hackathon)</t>
        </is>
      </c>
      <c r="C17" s="10" t="inlineStr">
        <is>
          <t>Live MCA, GSTN and Udyam verification; NIC single sign-on; PostgreSQL; GeM, PFMS and CPPP onboarding; VAPT by a CERT-In empanelled auditor; third-party GIGW audit.</t>
        </is>
      </c>
      <c r="D17" s="9" t="inlineStr">
        <is>
          <t>01 Oct 2026</t>
        </is>
      </c>
      <c r="E17" s="9" t="inlineStr">
        <is>
          <t>31 Mar 2027</t>
        </is>
      </c>
      <c r="F17" s="9" t="n">
        <v>130</v>
      </c>
      <c r="G17" s="9" t="inlineStr">
        <is>
          <t>Mission Director</t>
        </is>
      </c>
      <c r="H17" s="9" t="inlineStr">
        <is>
          <t>Sequential</t>
        </is>
      </c>
    </row>
  </sheetData>
  <autoFilter ref="A1:H17"/>
  <dataValidations count="1">
    <dataValidation sqref="H2:H17" showDropDown="0" showInputMessage="0" showErrorMessage="0" allowBlank="1" type="list">
      <formula1>"Sequential,Parallel"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1" t="inlineStr">
        <is>
          <t>AVSAR programme - week view</t>
        </is>
      </c>
    </row>
    <row r="2">
      <c r="C2" s="12" t="inlineStr">
        <is>
          <t>W1</t>
        </is>
      </c>
      <c r="D2" s="12" t="inlineStr">
        <is>
          <t>W2</t>
        </is>
      </c>
      <c r="E2" s="12" t="inlineStr">
        <is>
          <t>W3</t>
        </is>
      </c>
      <c r="F2" s="12" t="inlineStr">
        <is>
          <t>W4</t>
        </is>
      </c>
      <c r="G2" s="12" t="inlineStr">
        <is>
          <t>W5</t>
        </is>
      </c>
      <c r="H2" s="12" t="inlineStr">
        <is>
          <t>W6</t>
        </is>
      </c>
      <c r="I2" s="12" t="inlineStr">
        <is>
          <t>W7</t>
        </is>
      </c>
      <c r="J2" s="12" t="inlineStr">
        <is>
          <t>W8</t>
        </is>
      </c>
      <c r="K2" s="12" t="inlineStr">
        <is>
          <t>W9</t>
        </is>
      </c>
      <c r="L2" s="12" t="inlineStr">
        <is>
          <t>W10</t>
        </is>
      </c>
      <c r="M2" s="12" t="inlineStr">
        <is>
          <t>W11</t>
        </is>
      </c>
      <c r="N2" s="12" t="inlineStr">
        <is>
          <t>W12</t>
        </is>
      </c>
      <c r="O2" s="12" t="inlineStr">
        <is>
          <t>W13</t>
        </is>
      </c>
      <c r="P2" s="12" t="inlineStr">
        <is>
          <t>W14</t>
        </is>
      </c>
      <c r="Q2" s="12" t="inlineStr">
        <is>
          <t>Q4</t>
        </is>
      </c>
      <c r="R2" s="12" t="inlineStr">
        <is>
          <t>Q1</t>
        </is>
      </c>
    </row>
    <row r="3" ht="28" customHeight="1">
      <c r="A3" s="13" t="inlineStr">
        <is>
          <t>Phase</t>
        </is>
      </c>
      <c r="B3" s="13" t="inlineStr">
        <is>
          <t>Phase name</t>
        </is>
      </c>
      <c r="C3" s="14" t="inlineStr">
        <is>
          <t>01-07 Jul</t>
        </is>
      </c>
      <c r="D3" s="14" t="inlineStr">
        <is>
          <t>08-14 Jul</t>
        </is>
      </c>
      <c r="E3" s="14" t="inlineStr">
        <is>
          <t>15-21 Jul</t>
        </is>
      </c>
      <c r="F3" s="14" t="inlineStr">
        <is>
          <t>22-28 Jul</t>
        </is>
      </c>
      <c r="G3" s="14" t="inlineStr">
        <is>
          <t>29 Jul-04 Aug</t>
        </is>
      </c>
      <c r="H3" s="14" t="inlineStr">
        <is>
          <t>05-11 Aug</t>
        </is>
      </c>
      <c r="I3" s="14" t="inlineStr">
        <is>
          <t>12-18 Aug</t>
        </is>
      </c>
      <c r="J3" s="14" t="inlineStr">
        <is>
          <t>19-25 Aug</t>
        </is>
      </c>
      <c r="K3" s="14" t="inlineStr">
        <is>
          <t>26 Aug-01 Sep</t>
        </is>
      </c>
      <c r="L3" s="14" t="inlineStr">
        <is>
          <t>02-08 Sep</t>
        </is>
      </c>
      <c r="M3" s="14" t="inlineStr">
        <is>
          <t>09-15 Sep</t>
        </is>
      </c>
      <c r="N3" s="14" t="inlineStr">
        <is>
          <t>16-22 Sep</t>
        </is>
      </c>
      <c r="O3" s="14" t="inlineStr">
        <is>
          <t>23-29 Sep</t>
        </is>
      </c>
      <c r="P3" s="14" t="inlineStr">
        <is>
          <t>30 Sep-06 Oct</t>
        </is>
      </c>
      <c r="Q3" s="14" t="inlineStr">
        <is>
          <t>Oct-Dec 2026</t>
        </is>
      </c>
      <c r="R3" s="14" t="inlineStr">
        <is>
          <t>Jan-Mar 2027</t>
        </is>
      </c>
    </row>
    <row r="4">
      <c r="A4" s="15" t="inlineStr">
        <is>
          <t>P1</t>
        </is>
      </c>
      <c r="B4" s="16" t="inlineStr">
        <is>
          <t>Discovery and policy mapping</t>
        </is>
      </c>
      <c r="C4" s="17" t="n"/>
      <c r="D4" s="17" t="n"/>
      <c r="E4" s="17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</row>
    <row r="5">
      <c r="A5" s="15" t="inlineStr">
        <is>
          <t>P2</t>
        </is>
      </c>
      <c r="B5" s="16" t="inlineStr">
        <is>
          <t>Charter and requirements</t>
        </is>
      </c>
      <c r="C5" s="18" t="n"/>
      <c r="D5" s="18" t="n"/>
      <c r="E5" s="18" t="n"/>
      <c r="F5" s="17" t="n"/>
      <c r="G5" s="17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</row>
    <row r="6">
      <c r="A6" s="15" t="inlineStr">
        <is>
          <t>P3</t>
        </is>
      </c>
      <c r="B6" s="16" t="inlineStr">
        <is>
          <t>Data model and workflow design</t>
        </is>
      </c>
      <c r="C6" s="18" t="n"/>
      <c r="D6" s="18" t="n"/>
      <c r="E6" s="18" t="n"/>
      <c r="F6" s="18" t="n"/>
      <c r="G6" s="18" t="n"/>
      <c r="H6" s="17" t="n"/>
      <c r="I6" s="17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</row>
    <row r="7">
      <c r="A7" s="15" t="inlineStr">
        <is>
          <t>P4</t>
        </is>
      </c>
      <c r="B7" s="16" t="inlineStr">
        <is>
          <t>Design system</t>
        </is>
      </c>
      <c r="C7" s="18" t="n"/>
      <c r="D7" s="18" t="n"/>
      <c r="E7" s="18" t="n"/>
      <c r="F7" s="18" t="n"/>
      <c r="G7" s="18" t="n"/>
      <c r="H7" s="18" t="n"/>
      <c r="I7" s="19" t="n"/>
      <c r="J7" s="19" t="n"/>
      <c r="K7" s="18" t="n"/>
      <c r="L7" s="18" t="n"/>
      <c r="M7" s="18" t="n"/>
      <c r="N7" s="18" t="n"/>
      <c r="O7" s="18" t="n"/>
      <c r="P7" s="18" t="n"/>
      <c r="Q7" s="18" t="n"/>
      <c r="R7" s="18" t="n"/>
    </row>
    <row r="8">
      <c r="A8" s="15" t="inlineStr">
        <is>
          <t>P5</t>
        </is>
      </c>
      <c r="B8" s="16" t="inlineStr">
        <is>
          <t>API - identity and challenge</t>
        </is>
      </c>
      <c r="C8" s="18" t="n"/>
      <c r="D8" s="18" t="n"/>
      <c r="E8" s="18" t="n"/>
      <c r="F8" s="18" t="n"/>
      <c r="G8" s="18" t="n"/>
      <c r="H8" s="18" t="n"/>
      <c r="I8" s="18" t="n"/>
      <c r="J8" s="17" t="n"/>
      <c r="K8" s="17" t="n"/>
      <c r="L8" s="18" t="n"/>
      <c r="M8" s="18" t="n"/>
      <c r="N8" s="18" t="n"/>
      <c r="O8" s="18" t="n"/>
      <c r="P8" s="18" t="n"/>
      <c r="Q8" s="18" t="n"/>
      <c r="R8" s="18" t="n"/>
    </row>
    <row r="9">
      <c r="A9" s="15" t="inlineStr">
        <is>
          <t>P6</t>
        </is>
      </c>
      <c r="B9" s="16" t="inlineStr">
        <is>
          <t>API - evaluation and pilot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9" t="n"/>
      <c r="L9" s="19" t="n"/>
      <c r="M9" s="18" t="n"/>
      <c r="N9" s="18" t="n"/>
      <c r="O9" s="18" t="n"/>
      <c r="P9" s="18" t="n"/>
      <c r="Q9" s="18" t="n"/>
      <c r="R9" s="18" t="n"/>
    </row>
    <row r="10">
      <c r="A10" s="15" t="inlineStr">
        <is>
          <t>P7</t>
        </is>
      </c>
      <c r="B10" s="16" t="inlineStr">
        <is>
          <t>API - procurement and registry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9" t="n"/>
      <c r="L10" s="19" t="n"/>
      <c r="M10" s="18" t="n"/>
      <c r="N10" s="18" t="n"/>
      <c r="O10" s="18" t="n"/>
      <c r="P10" s="18" t="n"/>
      <c r="Q10" s="18" t="n"/>
      <c r="R10" s="18" t="n"/>
    </row>
    <row r="11">
      <c r="A11" s="15" t="inlineStr">
        <is>
          <t>P8</t>
        </is>
      </c>
      <c r="B11" s="16" t="inlineStr">
        <is>
          <t>Audit and transparency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9" t="n"/>
      <c r="M11" s="19" t="n"/>
      <c r="N11" s="18" t="n"/>
      <c r="O11" s="18" t="n"/>
      <c r="P11" s="18" t="n"/>
      <c r="Q11" s="18" t="n"/>
      <c r="R11" s="18" t="n"/>
    </row>
    <row r="12">
      <c r="A12" s="15" t="inlineStr">
        <is>
          <t>P9</t>
        </is>
      </c>
      <c r="B12" s="16" t="inlineStr">
        <is>
          <t>Client - public site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9" t="n"/>
      <c r="L12" s="19" t="n"/>
      <c r="M12" s="18" t="n"/>
      <c r="N12" s="18" t="n"/>
      <c r="O12" s="18" t="n"/>
      <c r="P12" s="18" t="n"/>
      <c r="Q12" s="18" t="n"/>
      <c r="R12" s="18" t="n"/>
    </row>
    <row r="13">
      <c r="A13" s="15" t="inlineStr">
        <is>
          <t>P10</t>
        </is>
      </c>
      <c r="B13" s="16" t="inlineStr">
        <is>
          <t>Client - role workspaces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9" t="n"/>
      <c r="M13" s="19" t="n"/>
      <c r="N13" s="18" t="n"/>
      <c r="O13" s="18" t="n"/>
      <c r="P13" s="18" t="n"/>
      <c r="Q13" s="18" t="n"/>
      <c r="R13" s="18" t="n"/>
    </row>
    <row r="14">
      <c r="A14" s="15" t="inlineStr">
        <is>
          <t>P11</t>
        </is>
      </c>
      <c r="B14" s="16" t="inlineStr">
        <is>
          <t>Seed dataset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9" t="n"/>
      <c r="N14" s="18" t="n"/>
      <c r="O14" s="18" t="n"/>
      <c r="P14" s="18" t="n"/>
      <c r="Q14" s="18" t="n"/>
      <c r="R14" s="18" t="n"/>
    </row>
    <row r="15">
      <c r="A15" s="15" t="inlineStr">
        <is>
          <t>P12</t>
        </is>
      </c>
      <c r="B15" s="16" t="inlineStr">
        <is>
          <t>End-to-end test suite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7" t="n"/>
      <c r="N15" s="17" t="n"/>
      <c r="O15" s="18" t="n"/>
      <c r="P15" s="18" t="n"/>
      <c r="Q15" s="18" t="n"/>
      <c r="R15" s="18" t="n"/>
    </row>
    <row r="16">
      <c r="A16" s="15" t="inlineStr">
        <is>
          <t>P13</t>
        </is>
      </c>
      <c r="B16" s="16" t="inlineStr">
        <is>
          <t>Document set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9" t="n"/>
      <c r="O16" s="19" t="n"/>
      <c r="P16" s="18" t="n"/>
      <c r="Q16" s="18" t="n"/>
      <c r="R16" s="18" t="n"/>
    </row>
    <row r="17">
      <c r="A17" s="15" t="inlineStr">
        <is>
          <t>P14</t>
        </is>
      </c>
      <c r="B17" s="16" t="inlineStr">
        <is>
          <t>Accessibility and security pass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9" t="n"/>
      <c r="O17" s="19" t="n"/>
      <c r="P17" s="18" t="n"/>
      <c r="Q17" s="18" t="n"/>
      <c r="R17" s="18" t="n"/>
    </row>
    <row r="18">
      <c r="A18" s="15" t="inlineStr">
        <is>
          <t>P15</t>
        </is>
      </c>
      <c r="B18" s="16" t="inlineStr">
        <is>
          <t>Hackathon submission and demonstration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7" t="n"/>
      <c r="P18" s="17" t="n"/>
      <c r="Q18" s="18" t="n"/>
      <c r="R18" s="18" t="n"/>
    </row>
    <row r="19">
      <c r="A19" s="15" t="inlineStr">
        <is>
          <t>P16</t>
        </is>
      </c>
      <c r="B19" s="16" t="inlineStr">
        <is>
          <t>Deployment readiness (post-hackathon)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7" t="n"/>
      <c r="R19" s="17" t="n"/>
    </row>
    <row r="21">
      <c r="A21" s="5" t="inlineStr">
        <is>
          <t>Legend</t>
        </is>
      </c>
    </row>
    <row r="22">
      <c r="A22" s="20" t="n"/>
      <c r="B22" s="21" t="inlineStr">
        <is>
          <t>Sequential - on the critical path</t>
        </is>
      </c>
    </row>
    <row r="23">
      <c r="A23" s="22" t="n"/>
      <c r="B23" s="21" t="inlineStr">
        <is>
          <t>Parallel - overlaps a preceding 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60" customWidth="1" min="3" max="3"/>
  </cols>
  <sheetData>
    <row r="1">
      <c r="A1" s="11" t="inlineStr">
        <is>
          <t>Timeline - summary</t>
        </is>
      </c>
    </row>
    <row r="3">
      <c r="A3" s="23" t="inlineStr">
        <is>
          <t>Phases planned</t>
        </is>
      </c>
      <c r="B3" s="24">
        <f>COUNTA(Timeline!A2:A17)</f>
        <v/>
      </c>
      <c r="C3" s="25" t="inlineStr">
        <is>
          <t>Total rows on the Timeline tab</t>
        </is>
      </c>
    </row>
    <row r="4">
      <c r="A4" s="23" t="inlineStr">
        <is>
          <t>Sequential phases</t>
        </is>
      </c>
      <c r="B4" s="24">
        <f>COUNTIF(Timeline!H2:H17,"Sequential")</f>
        <v/>
      </c>
      <c r="C4" s="25" t="inlineStr">
        <is>
          <t>On the critical path</t>
        </is>
      </c>
    </row>
    <row r="5">
      <c r="A5" s="23" t="inlineStr">
        <is>
          <t>Parallel phases</t>
        </is>
      </c>
      <c r="B5" s="24">
        <f>COUNTIF(Timeline!H2:H17,"Parallel")</f>
        <v/>
      </c>
      <c r="C5" s="25" t="inlineStr">
        <is>
          <t>Overlap a preceding phase</t>
        </is>
      </c>
    </row>
    <row r="6">
      <c r="A6" s="23" t="inlineStr">
        <is>
          <t>Total effort (working days)</t>
        </is>
      </c>
      <c r="B6" s="24">
        <f>SUM(Timeline!F2:F17)</f>
        <v/>
      </c>
      <c r="C6" s="25" t="inlineStr">
        <is>
          <t>Sum of phase durations, before overlap</t>
        </is>
      </c>
    </row>
    <row r="7">
      <c r="A7" s="23" t="inlineStr">
        <is>
          <t>Effort to hackathon submission</t>
        </is>
      </c>
      <c r="B7" s="24">
        <f>SUM(Timeline!F2:F16)</f>
        <v/>
      </c>
      <c r="C7" s="25" t="inlineStr">
        <is>
          <t>Excludes the deployment-readiness phase</t>
        </is>
      </c>
    </row>
    <row r="8">
      <c r="A8" s="23" t="inlineStr">
        <is>
          <t>Longest phase (days)</t>
        </is>
      </c>
      <c r="B8" s="24">
        <f>MAX(Timeline!F2:F17)</f>
        <v/>
      </c>
      <c r="C8" s="25" t="inlineStr">
        <is>
          <t>Deployment readiness, spanning two quarters</t>
        </is>
      </c>
    </row>
    <row r="9">
      <c r="A9" s="23" t="inlineStr">
        <is>
          <t>Mean phase length (days)</t>
        </is>
      </c>
      <c r="B9" s="24">
        <f>ROUND(AVERAGE(Timeline!F2:F17),1)</f>
        <v/>
      </c>
      <c r="C9" s="25" t="inlineStr">
        <is>
          <t>Indicator of phase granularity</t>
        </is>
      </c>
    </row>
    <row r="10">
      <c r="A10" s="23" t="inlineStr">
        <is>
          <t>Parallelisation share</t>
        </is>
      </c>
      <c r="B10" s="24">
        <f>ROUND(COUNTIF(Timeline!H2:H17,"Parallel")/COUNTA(Timeline!A2:A17),3)</f>
        <v/>
      </c>
      <c r="C10" s="25" t="inlineStr">
        <is>
          <t>Format as a percentage</t>
        </is>
      </c>
    </row>
    <row r="11">
      <c r="A11" s="23" t="inlineStr">
        <is>
          <t>Distinct owners</t>
        </is>
      </c>
      <c r="B11" s="24">
        <f>SUMPRODUCT((Timeline!G2:G17&lt;&gt;"")/COUNTIF(Timeline!G2:G17,Timeline!G2:G17&amp;""))</f>
        <v/>
      </c>
      <c r="C11" s="25" t="inlineStr">
        <is>
          <t>Distinct values in the Owner column</t>
        </is>
      </c>
    </row>
    <row r="13">
      <c r="A13" s="26" t="inlineStr">
        <is>
          <t>Total effort is the sum of phase durations and exceeds elapsed calendar time because nine phases run in parallel. See the Gantt tab for the elapsed view.</t>
        </is>
      </c>
    </row>
  </sheetData>
  <mergeCells count="1"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2026-09-03T15:43:19Z</dcterms:created>
  <dcterms:modified xmlns:dcterms="http://purl.org/dc/terms/" xmlns:xsi="http://www.w3.org/2001/XMLSchema-instance" xsi:type="dcterms:W3CDTF">2026-09-03T15:43:19Z</dcterms:modified>
</cp:coreProperties>
</file>