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Functional RTM" sheetId="3" state="visible" r:id="rId3"/>
    <sheet xmlns:r="http://schemas.openxmlformats.org/officeDocument/2006/relationships" name="Security RTM" sheetId="4" state="visible" r:id="rId4"/>
    <sheet xmlns:r="http://schemas.openxmlformats.org/officeDocument/2006/relationships" name="NFR RTM" sheetId="5" state="visible" r:id="rId5"/>
    <sheet xmlns:r="http://schemas.openxmlformats.org/officeDocument/2006/relationships" name="Role Ref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'Cover'!$A$15:$D$16</definedName>
    <definedName name="_xlnm._FilterDatabase" localSheetId="2" hidden="1">'Functional RTM'!$A$1:$K$53</definedName>
    <definedName name="_xlnm._FilterDatabase" localSheetId="3" hidden="1">'Security RTM'!$A$1:$K$18</definedName>
    <definedName name="_xlnm._FilterDatabase" localSheetId="4" hidden="1">'NFR RTM'!$A$1:$K$18</definedName>
    <definedName name="_xlnm._FilterDatabase" localSheetId="5" hidden="1">'Role Ref'!$A$1:$C$9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2447"/>
      <sz val="16"/>
    </font>
    <font>
      <name val="Calibri"/>
      <color rgb="0005639E"/>
      <sz val="13"/>
    </font>
    <font>
      <name val="Calibri"/>
      <b val="1"/>
      <color rgb="000B2447"/>
      <sz val="10"/>
    </font>
    <font>
      <name val="Calibri"/>
      <color rgb="00344054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344054"/>
      <sz val="10"/>
    </font>
    <font>
      <name val="Calibri"/>
      <b val="1"/>
      <color rgb="000B2447"/>
      <sz val="14"/>
    </font>
    <font>
      <name val="Calibri"/>
      <color rgb="00667085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0B244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6" fillId="3" borderId="1" pivotButton="0" quotePrefix="0" xfId="0"/>
    <xf numFmtId="0" fontId="0" fillId="3" borderId="1" pivotButton="0" quotePrefix="0" xfId="0"/>
    <xf numFmtId="0" fontId="7" fillId="0" borderId="1" pivotButton="0" quotePrefix="0" xfId="0"/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8" fillId="0" borderId="0" pivotButton="0" quotePrefix="0" xfId="0"/>
    <xf numFmtId="0" fontId="7" fillId="2" borderId="1" pivotButton="0" quotePrefix="0" xfId="0"/>
    <xf numFmtId="0" fontId="4" fillId="0" borderId="1" applyAlignment="1" pivotButton="0" quotePrefix="0" xfId="0">
      <alignment horizontal="center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74" customWidth="1" min="4" max="4"/>
  </cols>
  <sheetData>
    <row r="1">
      <c r="A1" s="1" t="inlineStr">
        <is>
          <t>AVSAR - Startup-Friendly Public Procurement Platform</t>
        </is>
      </c>
    </row>
    <row r="2">
      <c r="A2" s="2" t="inlineStr">
        <is>
          <t>Requirements Traceability Matrix</t>
        </is>
      </c>
    </row>
    <row r="4">
      <c r="A4" s="3" t="inlineStr">
        <is>
          <t>Document ID</t>
        </is>
      </c>
      <c r="B4" s="4" t="inlineStr">
        <is>
          <t>AVSAR-RTM-004</t>
        </is>
      </c>
    </row>
    <row r="5">
      <c r="A5" s="3" t="inlineStr">
        <is>
          <t>Version</t>
        </is>
      </c>
      <c r="B5" s="4" t="inlineStr">
        <is>
          <t>1.0</t>
        </is>
      </c>
    </row>
    <row r="6">
      <c r="A6" s="3" t="inlineStr">
        <is>
          <t>Date</t>
        </is>
      </c>
      <c r="B6" s="4" t="inlineStr">
        <is>
          <t>03 September 2026</t>
        </is>
      </c>
    </row>
    <row r="7">
      <c r="A7" s="3" t="inlineStr">
        <is>
          <t>Prepared by</t>
        </is>
      </c>
      <c r="B7" s="4" t="inlineStr">
        <is>
          <t>TandSol</t>
        </is>
      </c>
    </row>
    <row r="8">
      <c r="A8" s="3" t="inlineStr">
        <is>
          <t>Status</t>
        </is>
      </c>
      <c r="B8" s="4" t="inlineStr">
        <is>
          <t>Living</t>
        </is>
      </c>
    </row>
    <row r="9">
      <c r="A9" s="3" t="inlineStr">
        <is>
          <t>Related documents</t>
        </is>
      </c>
      <c r="B9" s="4" t="inlineStr">
        <is>
          <t>AVSAR-HBK-001, AVSAR-CHR-002, AVSAR-PMP-003, AVSAR-SDD-005, AVSAR-CDR-006, AVSAR-RSK-007, AVSAR-TML-008, AVSAR-DPD-009, AVSAR-RET-010, AVSAR-QAB-011</t>
        </is>
      </c>
    </row>
    <row r="10">
      <c r="A10" s="3" t="inlineStr">
        <is>
          <t>Classification</t>
        </is>
      </c>
      <c r="B10" s="4" t="inlineStr">
        <is>
          <t>Internal - Smart India Hackathon submission</t>
        </is>
      </c>
    </row>
    <row r="12" ht="58" customHeight="1">
      <c r="A12" s="5" t="inlineStr">
        <is>
          <t>Purpose</t>
        </is>
      </c>
      <c r="B12" s="6" t="inlineStr">
        <is>
          <t>Bidirectional traceability between the outcomes stated in the Project Charter, the requirements they generate, the design sections that satisfy them and the tests that verify them. A requirement with no design reference or no test reference is an open gap and is visible as such on the Summary tab.</t>
        </is>
      </c>
    </row>
    <row r="14">
      <c r="A14" s="5" t="inlineStr">
        <is>
          <t>Revision history</t>
        </is>
      </c>
    </row>
    <row r="15" ht="30" customHeight="1">
      <c r="A15" s="7" t="inlineStr">
        <is>
          <t>Version</t>
        </is>
      </c>
      <c r="B15" s="7" t="inlineStr">
        <is>
          <t>Date</t>
        </is>
      </c>
      <c r="C15" s="7" t="inlineStr">
        <is>
          <t>Author</t>
        </is>
      </c>
      <c r="D15" s="7" t="inlineStr">
        <is>
          <t>Change</t>
        </is>
      </c>
    </row>
    <row r="16">
      <c r="A16" s="8" t="inlineStr">
        <is>
          <t>1.0</t>
        </is>
      </c>
      <c r="B16" s="8" t="inlineStr">
        <is>
          <t>03 Sep 2026</t>
        </is>
      </c>
      <c r="C16" s="8" t="inlineStr">
        <is>
          <t>TandSol</t>
        </is>
      </c>
      <c r="D16" s="4" t="inlineStr">
        <is>
          <t>Baseline for the Smart India Hackathon submission. 52 functional, 17 security and 17 non-functional requirements captured from the Charter and traced to the Software Design Document and the end-to-end test suite.</t>
        </is>
      </c>
    </row>
  </sheetData>
  <autoFilter ref="A15:D16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9" t="inlineStr">
        <is>
          <t>Priority - MoSCoW</t>
        </is>
      </c>
      <c r="B1" s="10" t="n"/>
    </row>
    <row r="2">
      <c r="A2" s="11" t="inlineStr">
        <is>
          <t>M</t>
        </is>
      </c>
      <c r="B2" s="4" t="inlineStr">
        <is>
          <t>Must have. The mechanism does not function without it.</t>
        </is>
      </c>
    </row>
    <row r="3">
      <c r="A3" s="11" t="inlineStr">
        <is>
          <t>S</t>
        </is>
      </c>
      <c r="B3" s="4" t="inlineStr">
        <is>
          <t>Should have. Materially degrades the mechanism if absent.</t>
        </is>
      </c>
    </row>
    <row r="4">
      <c r="A4" s="11" t="inlineStr">
        <is>
          <t>C</t>
        </is>
      </c>
      <c r="B4" s="4" t="inlineStr">
        <is>
          <t>Could have. Desirable, deferred without loss of function.</t>
        </is>
      </c>
    </row>
    <row r="5">
      <c r="A5" s="11" t="inlineStr">
        <is>
          <t>W</t>
        </is>
      </c>
      <c r="B5" s="4" t="inlineStr">
        <is>
          <t>Will not have this release. Recorded so the decision is explicit.</t>
        </is>
      </c>
    </row>
    <row r="7">
      <c r="A7" s="9" t="inlineStr">
        <is>
          <t>Requirement type</t>
        </is>
      </c>
      <c r="B7" s="10" t="n"/>
    </row>
    <row r="8">
      <c r="A8" s="11" t="inlineStr">
        <is>
          <t>FUN</t>
        </is>
      </c>
      <c r="B8" s="4" t="inlineStr">
        <is>
          <t>Functional behaviour of the mechanism</t>
        </is>
      </c>
    </row>
    <row r="9">
      <c r="A9" s="11" t="inlineStr">
        <is>
          <t>SEC</t>
        </is>
      </c>
      <c r="B9" s="4" t="inlineStr">
        <is>
          <t>Security control</t>
        </is>
      </c>
    </row>
    <row r="10">
      <c r="A10" s="11" t="inlineStr">
        <is>
          <t>CMP</t>
        </is>
      </c>
      <c r="B10" s="4" t="inlineStr">
        <is>
          <t>Statutory or regulatory compliance obligation</t>
        </is>
      </c>
    </row>
    <row r="11">
      <c r="A11" s="11" t="inlineStr">
        <is>
          <t>NFR</t>
        </is>
      </c>
      <c r="B11" s="4" t="inlineStr">
        <is>
          <t>Quality attribute: performance, accessibility, maintainability</t>
        </is>
      </c>
    </row>
    <row r="12">
      <c r="A12" s="11" t="inlineStr">
        <is>
          <t>INT</t>
        </is>
      </c>
      <c r="B12" s="4" t="inlineStr">
        <is>
          <t>Integration with an external government system</t>
        </is>
      </c>
    </row>
    <row r="13">
      <c r="A13" s="11" t="inlineStr">
        <is>
          <t>RPT</t>
        </is>
      </c>
      <c r="B13" s="4" t="inlineStr">
        <is>
          <t>Reporting or transparency output</t>
        </is>
      </c>
    </row>
    <row r="15">
      <c r="A15" s="9" t="inlineStr">
        <is>
          <t>Status lifecycle</t>
        </is>
      </c>
      <c r="B15" s="10" t="n"/>
    </row>
    <row r="16">
      <c r="A16" s="11" t="inlineStr">
        <is>
          <t>Proposed</t>
        </is>
      </c>
      <c r="B16" s="4" t="inlineStr">
        <is>
          <t>Captured, not yet agreed</t>
        </is>
      </c>
    </row>
    <row r="17">
      <c r="A17" s="11" t="inlineStr">
        <is>
          <t>Approved</t>
        </is>
      </c>
      <c r="B17" s="4" t="inlineStr">
        <is>
          <t>Agreed and in scope; not yet designed</t>
        </is>
      </c>
    </row>
    <row r="18">
      <c r="A18" s="11" t="inlineStr">
        <is>
          <t>In Design</t>
        </is>
      </c>
      <c r="B18" s="4" t="inlineStr">
        <is>
          <t>Design section being written</t>
        </is>
      </c>
    </row>
    <row r="19">
      <c r="A19" s="11" t="inlineStr">
        <is>
          <t>Developed</t>
        </is>
      </c>
      <c r="B19" s="4" t="inlineStr">
        <is>
          <t>Implemented, not yet tested</t>
        </is>
      </c>
    </row>
    <row r="20">
      <c r="A20" s="11" t="inlineStr">
        <is>
          <t>Tested</t>
        </is>
      </c>
      <c r="B20" s="4" t="inlineStr">
        <is>
          <t>Test executed, result not yet reviewed</t>
        </is>
      </c>
    </row>
    <row r="21">
      <c r="A21" s="11" t="inlineStr">
        <is>
          <t>Verified</t>
        </is>
      </c>
      <c r="B21" s="4" t="inlineStr">
        <is>
          <t>Test executed and result reviewed against the requirement</t>
        </is>
      </c>
    </row>
    <row r="23">
      <c r="A23" s="9" t="inlineStr">
        <is>
          <t>Compliance tags</t>
        </is>
      </c>
      <c r="B23" s="10" t="n"/>
    </row>
    <row r="24">
      <c r="A24" s="11" t="inlineStr">
        <is>
          <t>GFR-173</t>
        </is>
      </c>
      <c r="B24" s="4" t="inlineStr">
        <is>
          <t>GFR 2017 Rule 173(i) - relaxation of prior turnover and prior experience</t>
        </is>
      </c>
    </row>
    <row r="25">
      <c r="A25" s="11" t="inlineStr">
        <is>
          <t>GFR-145</t>
        </is>
      </c>
      <c r="B25" s="4" t="inlineStr">
        <is>
          <t>GFR 2017 Rule 145 - rate contract</t>
        </is>
      </c>
    </row>
    <row r="26">
      <c r="A26" s="11" t="inlineStr">
        <is>
          <t>GFR-MODE</t>
        </is>
      </c>
      <c r="B26" s="4" t="inlineStr">
        <is>
          <t>GFR 2017 Rules 145 / 149 / 162 / 166 - modes of procurement</t>
        </is>
      </c>
    </row>
    <row r="27">
      <c r="A27" s="11" t="inlineStr">
        <is>
          <t>MSMED-45</t>
        </is>
      </c>
      <c r="B27" s="4" t="inlineStr">
        <is>
          <t>MSMED Act 2006 section 15 - payment within forty-five days</t>
        </is>
      </c>
    </row>
    <row r="28">
      <c r="A28" s="11" t="inlineStr">
        <is>
          <t>DPDP-CONSENT</t>
        </is>
      </c>
      <c r="B28" s="4" t="inlineStr">
        <is>
          <t>DPDP Act 2023 - notice and consent at collection</t>
        </is>
      </c>
    </row>
    <row r="29">
      <c r="A29" s="11" t="inlineStr">
        <is>
          <t>DPDP-PURPOSE</t>
        </is>
      </c>
      <c r="B29" s="4" t="inlineStr">
        <is>
          <t>DPDP Act 2023 section 4 - purpose limitation</t>
        </is>
      </c>
    </row>
    <row r="30">
      <c r="A30" s="11" t="inlineStr">
        <is>
          <t>DPDP-MINIMISE</t>
        </is>
      </c>
      <c r="B30" s="4" t="inlineStr">
        <is>
          <t>DPDP Act 2023 - data minimisation in disclosure</t>
        </is>
      </c>
    </row>
    <row r="31">
      <c r="A31" s="11" t="inlineStr">
        <is>
          <t>DPDP-DPA</t>
        </is>
      </c>
      <c r="B31" s="4" t="inlineStr">
        <is>
          <t>DPDP Act 2023 - data processing agreement with a processor</t>
        </is>
      </c>
    </row>
    <row r="32">
      <c r="A32" s="11" t="inlineStr">
        <is>
          <t>CERTIN-LOG</t>
        </is>
      </c>
      <c r="B32" s="4" t="inlineStr">
        <is>
          <t>CERT-In Directions 2022 - 180-day log retention in India</t>
        </is>
      </c>
    </row>
    <row r="33">
      <c r="A33" s="11" t="inlineStr">
        <is>
          <t>CERTIN-TLS</t>
        </is>
      </c>
      <c r="B33" s="4" t="inlineStr">
        <is>
          <t>CERT-In Directions 2022 - transport security</t>
        </is>
      </c>
    </row>
    <row r="34">
      <c r="A34" s="11" t="inlineStr">
        <is>
          <t>CERTIN-VAPT</t>
        </is>
      </c>
      <c r="B34" s="4" t="inlineStr">
        <is>
          <t>CERT-In Directions 2022 - assessment by an empanelled auditor</t>
        </is>
      </c>
    </row>
    <row r="35">
      <c r="A35" s="11" t="inlineStr">
        <is>
          <t>GIGW</t>
        </is>
      </c>
      <c r="B35" s="4" t="inlineStr">
        <is>
          <t>GIGW 3.0 and WCAG 2.1 level AA</t>
        </is>
      </c>
    </row>
    <row r="36">
      <c r="A36" s="11" t="inlineStr">
        <is>
          <t>SOD</t>
        </is>
      </c>
      <c r="B36" s="4" t="inlineStr">
        <is>
          <t>Separation of duties control</t>
        </is>
      </c>
    </row>
    <row r="37">
      <c r="A37" s="11" t="inlineStr">
        <is>
          <t>AUDIT</t>
        </is>
      </c>
      <c r="B37" s="4" t="inlineStr">
        <is>
          <t>Written to the tamper-evident audit record</t>
        </is>
      </c>
    </row>
    <row r="38">
      <c r="A38" s="11" t="inlineStr">
        <is>
          <t>AUDIT-DEFENSIBLE</t>
        </is>
      </c>
      <c r="B38" s="4" t="inlineStr">
        <is>
          <t>Produces an explanation a public auditor can follow</t>
        </is>
      </c>
    </row>
    <row r="39">
      <c r="A39" s="11" t="inlineStr">
        <is>
          <t>TRANSPARENCY</t>
        </is>
      </c>
      <c r="B39" s="4" t="inlineStr">
        <is>
          <t>Published without authentication</t>
        </is>
      </c>
    </row>
    <row r="41">
      <c r="A41" s="9" t="inlineStr">
        <is>
          <t>Deprecated requirements</t>
        </is>
      </c>
      <c r="B41" s="10" t="n"/>
    </row>
    <row r="42">
      <c r="A42" s="11" t="inlineStr">
        <is>
          <t>Convention</t>
        </is>
      </c>
      <c r="B42" s="4" t="inlineStr">
        <is>
          <t>A withdrawn requirement keeps its row and its ID. The description is prefixed [DEPRECATED - reason] so historical traceability is never broken by renumbering.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74" customWidth="1" min="3" max="3"/>
    <col width="20" customWidth="1" min="4" max="4"/>
    <col width="6" customWidth="1" min="5" max="5"/>
    <col width="7" customWidth="1" min="6" max="6"/>
    <col width="26" customWidth="1" min="7" max="7"/>
    <col width="16" customWidth="1" min="8" max="8"/>
    <col width="30" customWidth="1" min="9" max="9"/>
    <col width="20" customWidth="1" min="10" max="10"/>
    <col width="12" customWidth="1" min="11" max="11"/>
  </cols>
  <sheetData>
    <row r="1" ht="30" customHeight="1">
      <c r="A1" s="7" t="inlineStr">
        <is>
          <t>Req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User Role</t>
        </is>
      </c>
      <c r="E1" s="7" t="inlineStr">
        <is>
          <t>Pri</t>
        </is>
      </c>
      <c r="F1" s="7" t="inlineStr">
        <is>
          <t>Type</t>
        </is>
      </c>
      <c r="G1" s="7" t="inlineStr">
        <is>
          <t>Source</t>
        </is>
      </c>
      <c r="H1" s="7" t="inlineStr">
        <is>
          <t>Design Ref</t>
        </is>
      </c>
      <c r="I1" s="7" t="inlineStr">
        <is>
          <t>Test Ref</t>
        </is>
      </c>
      <c r="J1" s="7" t="inlineStr">
        <is>
          <t>Compliance Tag</t>
        </is>
      </c>
      <c r="K1" s="7" t="inlineStr">
        <is>
          <t>Status</t>
        </is>
      </c>
    </row>
    <row r="2">
      <c r="A2" s="8" t="inlineStr">
        <is>
          <t>FR-001</t>
        </is>
      </c>
      <c r="B2" s="8" t="inlineStr">
        <is>
          <t>Onboarding</t>
        </is>
      </c>
      <c r="C2" s="4" t="inlineStr">
        <is>
          <t>A startup shall self-register with its DPIIT recognition number, incorporation date, entity type and last-year turnover in a single form.</t>
        </is>
      </c>
      <c r="D2" s="8" t="inlineStr">
        <is>
          <t>Startup</t>
        </is>
      </c>
      <c r="E2" s="8" t="inlineStr">
        <is>
          <t>M</t>
        </is>
      </c>
      <c r="F2" s="8" t="inlineStr">
        <is>
          <t>FUN</t>
        </is>
      </c>
      <c r="G2" s="4" t="inlineStr">
        <is>
          <t>DPIIT G.S.R. 127(E)</t>
        </is>
      </c>
      <c r="H2" s="8" t="inlineStr">
        <is>
          <t>SDD 7.1</t>
        </is>
      </c>
      <c r="I2" s="4" t="inlineStr">
        <is>
          <t>workflow.test.mjs / stage V</t>
        </is>
      </c>
      <c r="J2" s="8" t="inlineStr">
        <is>
          <t>DPDP-CONSENT</t>
        </is>
      </c>
      <c r="K2" s="8" t="inlineStr">
        <is>
          <t>Verified</t>
        </is>
      </c>
    </row>
    <row r="3">
      <c r="A3" s="12" t="inlineStr">
        <is>
          <t>FR-002</t>
        </is>
      </c>
      <c r="B3" s="12" t="inlineStr">
        <is>
          <t>Onboarding</t>
        </is>
      </c>
      <c r="C3" s="13" t="inlineStr">
        <is>
          <t>On submission the platform shall run the statutory eligibility gate and return an itemised verdict naming the rule behind each check.</t>
        </is>
      </c>
      <c r="D3" s="12" t="inlineStr">
        <is>
          <t>Startup</t>
        </is>
      </c>
      <c r="E3" s="12" t="inlineStr">
        <is>
          <t>M</t>
        </is>
      </c>
      <c r="F3" s="12" t="inlineStr">
        <is>
          <t>FUN</t>
        </is>
      </c>
      <c r="G3" s="13" t="inlineStr">
        <is>
          <t>GFR 2017 R.173(i)</t>
        </is>
      </c>
      <c r="H3" s="12" t="inlineStr">
        <is>
          <t>SDD 7.2</t>
        </is>
      </c>
      <c r="I3" s="13" t="inlineStr">
        <is>
          <t>workflow.test.mjs / gate</t>
        </is>
      </c>
      <c r="J3" s="12" t="inlineStr">
        <is>
          <t>GFR-173</t>
        </is>
      </c>
      <c r="K3" s="12" t="inlineStr">
        <is>
          <t>Verified</t>
        </is>
      </c>
    </row>
    <row r="4">
      <c r="A4" s="8" t="inlineStr">
        <is>
          <t>FR-003</t>
        </is>
      </c>
      <c r="B4" s="8" t="inlineStr">
        <is>
          <t>Onboarding</t>
        </is>
      </c>
      <c r="C4" s="4" t="inlineStr">
        <is>
          <t>A startup shall be able to correct profile facts and re-run the eligibility gate on demand without raising a new application.</t>
        </is>
      </c>
      <c r="D4" s="8" t="inlineStr">
        <is>
          <t>Startup</t>
        </is>
      </c>
      <c r="E4" s="8" t="inlineStr">
        <is>
          <t>S</t>
        </is>
      </c>
      <c r="F4" s="8" t="inlineStr">
        <is>
          <t>FUN</t>
        </is>
      </c>
      <c r="G4" s="4" t="inlineStr">
        <is>
          <t>Grievance design</t>
        </is>
      </c>
      <c r="H4" s="8" t="inlineStr">
        <is>
          <t>SDD 7.2</t>
        </is>
      </c>
      <c r="I4" s="4" t="inlineStr">
        <is>
          <t>Manual - Profile screen</t>
        </is>
      </c>
      <c r="J4" s="8" t="inlineStr">
        <is>
          <t>-</t>
        </is>
      </c>
      <c r="K4" s="8" t="inlineStr">
        <is>
          <t>Verified</t>
        </is>
      </c>
    </row>
    <row r="5">
      <c r="A5" s="12" t="inlineStr">
        <is>
          <t>FR-004</t>
        </is>
      </c>
      <c r="B5" s="12" t="inlineStr">
        <is>
          <t>Onboarding</t>
        </is>
      </c>
      <c r="C5" s="13" t="inlineStr">
        <is>
          <t>The platform shall record CIN, GSTIN and Udyam numbers and expose a KYC state of PENDING, VERIFIED or REJECTED.</t>
        </is>
      </c>
      <c r="D5" s="12" t="inlineStr">
        <is>
          <t>Admin</t>
        </is>
      </c>
      <c r="E5" s="12" t="inlineStr">
        <is>
          <t>S</t>
        </is>
      </c>
      <c r="F5" s="12" t="inlineStr">
        <is>
          <t>FUN</t>
        </is>
      </c>
      <c r="G5" s="13" t="inlineStr">
        <is>
          <t>Onboarding control</t>
        </is>
      </c>
      <c r="H5" s="12" t="inlineStr">
        <is>
          <t>SDD 7.1</t>
        </is>
      </c>
      <c r="I5" s="13" t="inlineStr">
        <is>
          <t>Manual - Administration</t>
        </is>
      </c>
      <c r="J5" s="12" t="inlineStr">
        <is>
          <t>-</t>
        </is>
      </c>
      <c r="K5" s="12" t="inlineStr">
        <is>
          <t>Developed</t>
        </is>
      </c>
    </row>
    <row r="6">
      <c r="A6" s="8" t="inlineStr">
        <is>
          <t>FR-005</t>
        </is>
      </c>
      <c r="B6" s="8" t="inlineStr">
        <is>
          <t>Challenge</t>
        </is>
      </c>
      <c r="C6" s="4" t="inlineStr">
        <is>
          <t>A nodal officer shall create a problem statement capturing problem, background, baseline, desired outcome, sector, tags, TRL floor, budget ceiling, duration, scale-up value, deployment environment, data availability and IP terms.</t>
        </is>
      </c>
      <c r="D6" s="8" t="inlineStr">
        <is>
          <t>Nodal Officer</t>
        </is>
      </c>
      <c r="E6" s="8" t="inlineStr">
        <is>
          <t>M</t>
        </is>
      </c>
      <c r="F6" s="8" t="inlineStr">
        <is>
          <t>FUN</t>
        </is>
      </c>
      <c r="G6" s="4" t="inlineStr">
        <is>
          <t>Charter 4.1</t>
        </is>
      </c>
      <c r="H6" s="8" t="inlineStr">
        <is>
          <t>SDD 8.1</t>
        </is>
      </c>
      <c r="I6" s="4" t="inlineStr">
        <is>
          <t>workflow.test.mjs / stage A</t>
        </is>
      </c>
      <c r="J6" s="8" t="inlineStr">
        <is>
          <t>-</t>
        </is>
      </c>
      <c r="K6" s="8" t="inlineStr">
        <is>
          <t>Verified</t>
        </is>
      </c>
    </row>
    <row r="7">
      <c r="A7" s="12" t="inlineStr">
        <is>
          <t>FR-006</t>
        </is>
      </c>
      <c r="B7" s="12" t="inlineStr">
        <is>
          <t>Challenge</t>
        </is>
      </c>
      <c r="C7" s="13" t="inlineStr">
        <is>
          <t>The platform shall refuse to accept a problem statement that declares no measurable KPI.</t>
        </is>
      </c>
      <c r="D7" s="12" t="inlineStr">
        <is>
          <t>Nodal Officer</t>
        </is>
      </c>
      <c r="E7" s="12" t="inlineStr">
        <is>
          <t>M</t>
        </is>
      </c>
      <c r="F7" s="12" t="inlineStr">
        <is>
          <t>FUN</t>
        </is>
      </c>
      <c r="G7" s="13" t="inlineStr">
        <is>
          <t>Charter 4.1</t>
        </is>
      </c>
      <c r="H7" s="12" t="inlineStr">
        <is>
          <t>SDD 8.1</t>
        </is>
      </c>
      <c r="I7" s="13" t="inlineStr">
        <is>
          <t>workflow.test.mjs / no-KPI</t>
        </is>
      </c>
      <c r="J7" s="12" t="inlineStr">
        <is>
          <t>-</t>
        </is>
      </c>
      <c r="K7" s="12" t="inlineStr">
        <is>
          <t>Verified</t>
        </is>
      </c>
    </row>
    <row r="8">
      <c r="A8" s="8" t="inlineStr">
        <is>
          <t>FR-007</t>
        </is>
      </c>
      <c r="B8" s="8" t="inlineStr">
        <is>
          <t>Challenge</t>
        </is>
      </c>
      <c r="C8" s="4" t="inlineStr">
        <is>
          <t>Each KPI shall carry a target, a unit and a direction of improvement.</t>
        </is>
      </c>
      <c r="D8" s="8" t="inlineStr">
        <is>
          <t>Nodal Officer</t>
        </is>
      </c>
      <c r="E8" s="8" t="inlineStr">
        <is>
          <t>M</t>
        </is>
      </c>
      <c r="F8" s="8" t="inlineStr">
        <is>
          <t>FUN</t>
        </is>
      </c>
      <c r="G8" s="4" t="inlineStr">
        <is>
          <t>Charter 4.1</t>
        </is>
      </c>
      <c r="H8" s="8" t="inlineStr">
        <is>
          <t>SDD 8.1</t>
        </is>
      </c>
      <c r="I8" s="4" t="inlineStr">
        <is>
          <t>workflow.test.mjs / scorecard</t>
        </is>
      </c>
      <c r="J8" s="8" t="inlineStr">
        <is>
          <t>-</t>
        </is>
      </c>
      <c r="K8" s="8" t="inlineStr">
        <is>
          <t>Verified</t>
        </is>
      </c>
    </row>
    <row r="9">
      <c r="A9" s="12" t="inlineStr">
        <is>
          <t>FR-008</t>
        </is>
      </c>
      <c r="B9" s="12" t="inlineStr">
        <is>
          <t>Challenge</t>
        </is>
      </c>
      <c r="C9" s="13" t="inlineStr">
        <is>
          <t>A problem statement shall receive a permanent file number of the form AVS/CH/YYYY/NNNN on creation.</t>
        </is>
      </c>
      <c r="D9" s="12" t="inlineStr">
        <is>
          <t>System</t>
        </is>
      </c>
      <c r="E9" s="12" t="inlineStr">
        <is>
          <t>M</t>
        </is>
      </c>
      <c r="F9" s="12" t="inlineStr">
        <is>
          <t>FUN</t>
        </is>
      </c>
      <c r="G9" s="13" t="inlineStr">
        <is>
          <t>Government file practice</t>
        </is>
      </c>
      <c r="H9" s="12" t="inlineStr">
        <is>
          <t>SDD 8.4</t>
        </is>
      </c>
      <c r="I9" s="13" t="inlineStr">
        <is>
          <t>workflow.test.mjs / stage A</t>
        </is>
      </c>
      <c r="J9" s="12" t="inlineStr">
        <is>
          <t>-</t>
        </is>
      </c>
      <c r="K9" s="12" t="inlineStr">
        <is>
          <t>Verified</t>
        </is>
      </c>
    </row>
    <row r="10">
      <c r="A10" s="8" t="inlineStr">
        <is>
          <t>FR-009</t>
        </is>
      </c>
      <c r="B10" s="8" t="inlineStr">
        <is>
          <t>Challenge</t>
        </is>
      </c>
      <c r="C10" s="4" t="inlineStr">
        <is>
          <t>Only a department head or platform administrator shall be able to approve and publish a problem statement.</t>
        </is>
      </c>
      <c r="D10" s="8" t="inlineStr">
        <is>
          <t>Department Head</t>
        </is>
      </c>
      <c r="E10" s="8" t="inlineStr">
        <is>
          <t>M</t>
        </is>
      </c>
      <c r="F10" s="8" t="inlineStr">
        <is>
          <t>FUN</t>
        </is>
      </c>
      <c r="G10" s="4" t="inlineStr">
        <is>
          <t>Separation of duties</t>
        </is>
      </c>
      <c r="H10" s="8" t="inlineStr">
        <is>
          <t>SDD 9.2</t>
        </is>
      </c>
      <c r="I10" s="4" t="inlineStr">
        <is>
          <t>workflow.test.mjs / self-publish</t>
        </is>
      </c>
      <c r="J10" s="8" t="inlineStr">
        <is>
          <t>SOD</t>
        </is>
      </c>
      <c r="K10" s="8" t="inlineStr">
        <is>
          <t>Verified</t>
        </is>
      </c>
    </row>
    <row r="11">
      <c r="A11" s="12" t="inlineStr">
        <is>
          <t>FR-010</t>
        </is>
      </c>
      <c r="B11" s="12" t="inlineStr">
        <is>
          <t>Challenge</t>
        </is>
      </c>
      <c r="C11" s="13" t="inlineStr">
        <is>
          <t>On publication the platform shall notify eligible startups whose declared sector matches the problem statement.</t>
        </is>
      </c>
      <c r="D11" s="12" t="inlineStr">
        <is>
          <t>Startup</t>
        </is>
      </c>
      <c r="E11" s="12" t="inlineStr">
        <is>
          <t>S</t>
        </is>
      </c>
      <c r="F11" s="12" t="inlineStr">
        <is>
          <t>FUN</t>
        </is>
      </c>
      <c r="G11" s="13" t="inlineStr">
        <is>
          <t>Charter 4.2</t>
        </is>
      </c>
      <c r="H11" s="12" t="inlineStr">
        <is>
          <t>SDD 8.6</t>
        </is>
      </c>
      <c r="I11" s="13" t="inlineStr">
        <is>
          <t>Manual - notification panel</t>
        </is>
      </c>
      <c r="J11" s="12" t="inlineStr">
        <is>
          <t>-</t>
        </is>
      </c>
      <c r="K11" s="12" t="inlineStr">
        <is>
          <t>Verified</t>
        </is>
      </c>
    </row>
    <row r="12">
      <c r="A12" s="8" t="inlineStr">
        <is>
          <t>FR-011</t>
        </is>
      </c>
      <c r="B12" s="8" t="inlineStr">
        <is>
          <t>Challenge</t>
        </is>
      </c>
      <c r="C12" s="4" t="inlineStr">
        <is>
          <t>A published problem statement, its KPIs and its budget ceiling shall be visible without authentication.</t>
        </is>
      </c>
      <c r="D12" s="8" t="inlineStr">
        <is>
          <t>Public</t>
        </is>
      </c>
      <c r="E12" s="8" t="inlineStr">
        <is>
          <t>M</t>
        </is>
      </c>
      <c r="F12" s="8" t="inlineStr">
        <is>
          <t>FUN</t>
        </is>
      </c>
      <c r="G12" s="4" t="inlineStr">
        <is>
          <t>Transparency</t>
        </is>
      </c>
      <c r="H12" s="8" t="inlineStr">
        <is>
          <t>SDD 8.5</t>
        </is>
      </c>
      <c r="I12" s="4" t="inlineStr">
        <is>
          <t>workflow.test.mjs / anon draft</t>
        </is>
      </c>
      <c r="J12" s="8" t="inlineStr">
        <is>
          <t>TRANSPARENCY</t>
        </is>
      </c>
      <c r="K12" s="8" t="inlineStr">
        <is>
          <t>Verified</t>
        </is>
      </c>
    </row>
    <row r="13">
      <c r="A13" s="12" t="inlineStr">
        <is>
          <t>FR-012</t>
        </is>
      </c>
      <c r="B13" s="12" t="inlineStr">
        <is>
          <t>Challenge</t>
        </is>
      </c>
      <c r="C13" s="13" t="inlineStr">
        <is>
          <t>A draft, pending or returned problem statement shall never be disclosed to an unauthenticated caller.</t>
        </is>
      </c>
      <c r="D13" s="12" t="inlineStr">
        <is>
          <t>Public</t>
        </is>
      </c>
      <c r="E13" s="12" t="inlineStr">
        <is>
          <t>M</t>
        </is>
      </c>
      <c r="F13" s="12" t="inlineStr">
        <is>
          <t>SEC</t>
        </is>
      </c>
      <c r="G13" s="13" t="inlineStr">
        <is>
          <t>Transparency</t>
        </is>
      </c>
      <c r="H13" s="12" t="inlineStr">
        <is>
          <t>SDD 9.3</t>
        </is>
      </c>
      <c r="I13" s="13" t="inlineStr">
        <is>
          <t>workflow.test.mjs / anon draft</t>
        </is>
      </c>
      <c r="J13" s="12" t="inlineStr">
        <is>
          <t>-</t>
        </is>
      </c>
      <c r="K13" s="12" t="inlineStr">
        <is>
          <t>Verified</t>
        </is>
      </c>
    </row>
    <row r="14">
      <c r="A14" s="8" t="inlineStr">
        <is>
          <t>FR-013</t>
        </is>
      </c>
      <c r="B14" s="8" t="inlineStr">
        <is>
          <t>Discovery</t>
        </is>
      </c>
      <c r="C14" s="4" t="inlineStr">
        <is>
          <t>A department shall be able to search the startup registry by sector, state, readiness level, women-led status and free text.</t>
        </is>
      </c>
      <c r="D14" s="8" t="inlineStr">
        <is>
          <t>Nodal Officer</t>
        </is>
      </c>
      <c r="E14" s="8" t="inlineStr">
        <is>
          <t>M</t>
        </is>
      </c>
      <c r="F14" s="8" t="inlineStr">
        <is>
          <t>FUN</t>
        </is>
      </c>
      <c r="G14" s="4" t="inlineStr">
        <is>
          <t>Charter 4.3</t>
        </is>
      </c>
      <c r="H14" s="8" t="inlineStr">
        <is>
          <t>SDD 8.7</t>
        </is>
      </c>
      <c r="I14" s="4" t="inlineStr">
        <is>
          <t>Manual - Registry screen</t>
        </is>
      </c>
      <c r="J14" s="8" t="inlineStr">
        <is>
          <t>-</t>
        </is>
      </c>
      <c r="K14" s="8" t="inlineStr">
        <is>
          <t>Verified</t>
        </is>
      </c>
    </row>
    <row r="15">
      <c r="A15" s="12" t="inlineStr">
        <is>
          <t>FR-014</t>
        </is>
      </c>
      <c r="B15" s="12" t="inlineStr">
        <is>
          <t>Discovery</t>
        </is>
      </c>
      <c r="C15" s="13" t="inlineStr">
        <is>
          <t>The platform shall rank eligible startups against a problem statement using a transparent weighted model.</t>
        </is>
      </c>
      <c r="D15" s="12" t="inlineStr">
        <is>
          <t>Nodal Officer</t>
        </is>
      </c>
      <c r="E15" s="12" t="inlineStr">
        <is>
          <t>M</t>
        </is>
      </c>
      <c r="F15" s="12" t="inlineStr">
        <is>
          <t>FUN</t>
        </is>
      </c>
      <c r="G15" s="13" t="inlineStr">
        <is>
          <t>Charter 4.3</t>
        </is>
      </c>
      <c r="H15" s="12" t="inlineStr">
        <is>
          <t>SDD 8.7</t>
        </is>
      </c>
      <c r="I15" s="13" t="inlineStr">
        <is>
          <t>Manual - Discover tab</t>
        </is>
      </c>
      <c r="J15" s="12" t="inlineStr">
        <is>
          <t>AUDIT-DEFENSIBLE</t>
        </is>
      </c>
      <c r="K15" s="12" t="inlineStr">
        <is>
          <t>Verified</t>
        </is>
      </c>
    </row>
    <row r="16">
      <c r="A16" s="8" t="inlineStr">
        <is>
          <t>FR-015</t>
        </is>
      </c>
      <c r="B16" s="8" t="inlineStr">
        <is>
          <t>Discovery</t>
        </is>
      </c>
      <c r="C16" s="4" t="inlineStr">
        <is>
          <t>The match score shall return a human-readable reason and a point value for every contributing factor.</t>
        </is>
      </c>
      <c r="D16" s="8" t="inlineStr">
        <is>
          <t>Nodal Officer</t>
        </is>
      </c>
      <c r="E16" s="8" t="inlineStr">
        <is>
          <t>M</t>
        </is>
      </c>
      <c r="F16" s="8" t="inlineStr">
        <is>
          <t>FUN</t>
        </is>
      </c>
      <c r="G16" s="4" t="inlineStr">
        <is>
          <t>Audit defensibility</t>
        </is>
      </c>
      <c r="H16" s="8" t="inlineStr">
        <is>
          <t>SDD 8.7</t>
        </is>
      </c>
      <c r="I16" s="4" t="inlineStr">
        <is>
          <t>Manual - Discover tab</t>
        </is>
      </c>
      <c r="J16" s="8" t="inlineStr">
        <is>
          <t>AUDIT-DEFENSIBLE</t>
        </is>
      </c>
      <c r="K16" s="8" t="inlineStr">
        <is>
          <t>Verified</t>
        </is>
      </c>
    </row>
    <row r="17">
      <c r="A17" s="12" t="inlineStr">
        <is>
          <t>FR-016</t>
        </is>
      </c>
      <c r="B17" s="12" t="inlineStr">
        <is>
          <t>Discovery</t>
        </is>
      </c>
      <c r="C17" s="13" t="inlineStr">
        <is>
          <t>Prior government supply shall contribute to the match score but shall never act as a qualification gate.</t>
        </is>
      </c>
      <c r="D17" s="12" t="inlineStr">
        <is>
          <t>System</t>
        </is>
      </c>
      <c r="E17" s="12" t="inlineStr">
        <is>
          <t>M</t>
        </is>
      </c>
      <c r="F17" s="12" t="inlineStr">
        <is>
          <t>CMP</t>
        </is>
      </c>
      <c r="G17" s="13" t="inlineStr">
        <is>
          <t>GFR 2017 R.173(i)</t>
        </is>
      </c>
      <c r="H17" s="12" t="inlineStr">
        <is>
          <t>SDD 8.7</t>
        </is>
      </c>
      <c r="I17" s="13" t="inlineStr">
        <is>
          <t>workflow.test.mjs / relaxations</t>
        </is>
      </c>
      <c r="J17" s="12" t="inlineStr">
        <is>
          <t>GFR-173</t>
        </is>
      </c>
      <c r="K17" s="12" t="inlineStr">
        <is>
          <t>Verified</t>
        </is>
      </c>
    </row>
    <row r="18">
      <c r="A18" s="8" t="inlineStr">
        <is>
          <t>FR-017</t>
        </is>
      </c>
      <c r="B18" s="8" t="inlineStr">
        <is>
          <t>Application</t>
        </is>
      </c>
      <c r="C18" s="4" t="inlineStr">
        <is>
          <t>A startup shall apply to a published problem statement with solution title, summary, approach, claimed TRL, prior deployments, team size, quoted pilot cost, timeline, differentiators and declared risks.</t>
        </is>
      </c>
      <c r="D18" s="8" t="inlineStr">
        <is>
          <t>Startup</t>
        </is>
      </c>
      <c r="E18" s="8" t="inlineStr">
        <is>
          <t>M</t>
        </is>
      </c>
      <c r="F18" s="8" t="inlineStr">
        <is>
          <t>FUN</t>
        </is>
      </c>
      <c r="G18" s="4" t="inlineStr">
        <is>
          <t>Charter 4.4</t>
        </is>
      </c>
      <c r="H18" s="8" t="inlineStr">
        <is>
          <t>SDD 8.2</t>
        </is>
      </c>
      <c r="I18" s="4" t="inlineStr">
        <is>
          <t>workflow.test.mjs / stage V</t>
        </is>
      </c>
      <c r="J18" s="8" t="inlineStr">
        <is>
          <t>-</t>
        </is>
      </c>
      <c r="K18" s="8" t="inlineStr">
        <is>
          <t>Verified</t>
        </is>
      </c>
    </row>
    <row r="19">
      <c r="A19" s="12" t="inlineStr">
        <is>
          <t>FR-018</t>
        </is>
      </c>
      <c r="B19" s="12" t="inlineStr">
        <is>
          <t>Application</t>
        </is>
      </c>
      <c r="C19" s="13" t="inlineStr">
        <is>
          <t>A startup shall not be able to submit more than one application to the same problem statement.</t>
        </is>
      </c>
      <c r="D19" s="12" t="inlineStr">
        <is>
          <t>System</t>
        </is>
      </c>
      <c r="E19" s="12" t="inlineStr">
        <is>
          <t>M</t>
        </is>
      </c>
      <c r="F19" s="12" t="inlineStr">
        <is>
          <t>FUN</t>
        </is>
      </c>
      <c r="G19" s="13" t="inlineStr">
        <is>
          <t>Fairness</t>
        </is>
      </c>
      <c r="H19" s="12" t="inlineStr">
        <is>
          <t>SDD 8.2</t>
        </is>
      </c>
      <c r="I19" s="13" t="inlineStr">
        <is>
          <t>Schema UNIQUE constraint</t>
        </is>
      </c>
      <c r="J19" s="12" t="inlineStr">
        <is>
          <t>-</t>
        </is>
      </c>
      <c r="K19" s="12" t="inlineStr">
        <is>
          <t>Verified</t>
        </is>
      </c>
    </row>
    <row r="20">
      <c r="A20" s="8" t="inlineStr">
        <is>
          <t>FR-019</t>
        </is>
      </c>
      <c r="B20" s="8" t="inlineStr">
        <is>
          <t>Application</t>
        </is>
      </c>
      <c r="C20" s="4" t="inlineStr">
        <is>
          <t>On submission the platform shall run the challenge fit gate on TRL floor, budget ceiling and timeline window and store the verdict verbatim on the application.</t>
        </is>
      </c>
      <c r="D20" s="8" t="inlineStr">
        <is>
          <t>System</t>
        </is>
      </c>
      <c r="E20" s="8" t="inlineStr">
        <is>
          <t>M</t>
        </is>
      </c>
      <c r="F20" s="8" t="inlineStr">
        <is>
          <t>FUN</t>
        </is>
      </c>
      <c r="G20" s="4" t="inlineStr">
        <is>
          <t>Charter 4.4</t>
        </is>
      </c>
      <c r="H20" s="8" t="inlineStr">
        <is>
          <t>SDD 8.2</t>
        </is>
      </c>
      <c r="I20" s="4" t="inlineStr">
        <is>
          <t>workflow.test.mjs / over-ceiling</t>
        </is>
      </c>
      <c r="J20" s="8" t="inlineStr">
        <is>
          <t>-</t>
        </is>
      </c>
      <c r="K20" s="8" t="inlineStr">
        <is>
          <t>Verified</t>
        </is>
      </c>
    </row>
    <row r="21">
      <c r="A21" s="12" t="inlineStr">
        <is>
          <t>FR-020</t>
        </is>
      </c>
      <c r="B21" s="12" t="inlineStr">
        <is>
          <t>Application</t>
        </is>
      </c>
      <c r="C21" s="13" t="inlineStr">
        <is>
          <t>A blocked application shall display the exact criterion that failed and the rule it derives from.</t>
        </is>
      </c>
      <c r="D21" s="12" t="inlineStr">
        <is>
          <t>Startup</t>
        </is>
      </c>
      <c r="E21" s="12" t="inlineStr">
        <is>
          <t>M</t>
        </is>
      </c>
      <c r="F21" s="12" t="inlineStr">
        <is>
          <t>FUN</t>
        </is>
      </c>
      <c r="G21" s="13" t="inlineStr">
        <is>
          <t>Natural justice</t>
        </is>
      </c>
      <c r="H21" s="12" t="inlineStr">
        <is>
          <t>SDD 8.2</t>
        </is>
      </c>
      <c r="I21" s="13" t="inlineStr">
        <is>
          <t>workflow.test.mjs / over-ceiling</t>
        </is>
      </c>
      <c r="J21" s="12" t="inlineStr">
        <is>
          <t>AUDIT-DEFENSIBLE</t>
        </is>
      </c>
      <c r="K21" s="12" t="inlineStr">
        <is>
          <t>Verified</t>
        </is>
      </c>
    </row>
    <row r="22">
      <c r="A22" s="8" t="inlineStr">
        <is>
          <t>FR-021</t>
        </is>
      </c>
      <c r="B22" s="8" t="inlineStr">
        <is>
          <t>Application</t>
        </is>
      </c>
      <c r="C22" s="4" t="inlineStr">
        <is>
          <t>A startup shall be able to withdraw its own application before evaluation concludes.</t>
        </is>
      </c>
      <c r="D22" s="8" t="inlineStr">
        <is>
          <t>Startup</t>
        </is>
      </c>
      <c r="E22" s="8" t="inlineStr">
        <is>
          <t>C</t>
        </is>
      </c>
      <c r="F22" s="8" t="inlineStr">
        <is>
          <t>FUN</t>
        </is>
      </c>
      <c r="G22" s="4" t="inlineStr">
        <is>
          <t>Charter 4.4</t>
        </is>
      </c>
      <c r="H22" s="8" t="inlineStr">
        <is>
          <t>SDD 8.2</t>
        </is>
      </c>
      <c r="I22" s="4" t="inlineStr">
        <is>
          <t>Manual - Applications screen</t>
        </is>
      </c>
      <c r="J22" s="8" t="inlineStr">
        <is>
          <t>-</t>
        </is>
      </c>
      <c r="K22" s="8" t="inlineStr">
        <is>
          <t>Developed</t>
        </is>
      </c>
    </row>
    <row r="23">
      <c r="A23" s="12" t="inlineStr">
        <is>
          <t>FR-022</t>
        </is>
      </c>
      <c r="B23" s="12" t="inlineStr">
        <is>
          <t>Evaluation</t>
        </is>
      </c>
      <c r="C23" s="13" t="inlineStr">
        <is>
          <t>A nodal officer shall assign one or more evaluators to an application from the evaluator pool, with current workload visible.</t>
        </is>
      </c>
      <c r="D23" s="12" t="inlineStr">
        <is>
          <t>Nodal Officer</t>
        </is>
      </c>
      <c r="E23" s="12" t="inlineStr">
        <is>
          <t>M</t>
        </is>
      </c>
      <c r="F23" s="12" t="inlineStr">
        <is>
          <t>FUN</t>
        </is>
      </c>
      <c r="G23" s="13" t="inlineStr">
        <is>
          <t>Charter 4.5</t>
        </is>
      </c>
      <c r="H23" s="12" t="inlineStr">
        <is>
          <t>SDD 8.3</t>
        </is>
      </c>
      <c r="I23" s="13" t="inlineStr">
        <is>
          <t>workflow.test.mjs / committee</t>
        </is>
      </c>
      <c r="J23" s="12" t="inlineStr">
        <is>
          <t>-</t>
        </is>
      </c>
      <c r="K23" s="12" t="inlineStr">
        <is>
          <t>Verified</t>
        </is>
      </c>
    </row>
    <row r="24">
      <c r="A24" s="8" t="inlineStr">
        <is>
          <t>FR-023</t>
        </is>
      </c>
      <c r="B24" s="8" t="inlineStr">
        <is>
          <t>Evaluation</t>
        </is>
      </c>
      <c r="C24" s="4" t="inlineStr">
        <is>
          <t>An evaluator shall not see the applicant identity until their own score is submitted.</t>
        </is>
      </c>
      <c r="D24" s="8" t="inlineStr">
        <is>
          <t>Evaluator</t>
        </is>
      </c>
      <c r="E24" s="8" t="inlineStr">
        <is>
          <t>M</t>
        </is>
      </c>
      <c r="F24" s="8" t="inlineStr">
        <is>
          <t>FUN</t>
        </is>
      </c>
      <c r="G24" s="4" t="inlineStr">
        <is>
          <t>Bias reduction</t>
        </is>
      </c>
      <c r="H24" s="8" t="inlineStr">
        <is>
          <t>SDD 8.3</t>
        </is>
      </c>
      <c r="I24" s="4" t="inlineStr">
        <is>
          <t>workflow.test.mjs / blinded</t>
        </is>
      </c>
      <c r="J24" s="8" t="inlineStr">
        <is>
          <t>SOD</t>
        </is>
      </c>
      <c r="K24" s="8" t="inlineStr">
        <is>
          <t>Verified</t>
        </is>
      </c>
    </row>
    <row r="25">
      <c r="A25" s="12" t="inlineStr">
        <is>
          <t>FR-024</t>
        </is>
      </c>
      <c r="B25" s="12" t="inlineStr">
        <is>
          <t>Evaluation</t>
        </is>
      </c>
      <c r="C25" s="13" t="inlineStr">
        <is>
          <t>The platform shall refuse to accept a score unless a conflict-of-interest declaration has been made.</t>
        </is>
      </c>
      <c r="D25" s="12" t="inlineStr">
        <is>
          <t>Evaluator</t>
        </is>
      </c>
      <c r="E25" s="12" t="inlineStr">
        <is>
          <t>M</t>
        </is>
      </c>
      <c r="F25" s="12" t="inlineStr">
        <is>
          <t>SEC</t>
        </is>
      </c>
      <c r="G25" s="13" t="inlineStr">
        <is>
          <t>Integrity control</t>
        </is>
      </c>
      <c r="H25" s="12" t="inlineStr">
        <is>
          <t>SDD 9.2</t>
        </is>
      </c>
      <c r="I25" s="13" t="inlineStr">
        <is>
          <t>workflow.test.mjs / COI</t>
        </is>
      </c>
      <c r="J25" s="12" t="inlineStr">
        <is>
          <t>SOD</t>
        </is>
      </c>
      <c r="K25" s="12" t="inlineStr">
        <is>
          <t>Verified</t>
        </is>
      </c>
    </row>
    <row r="26">
      <c r="A26" s="8" t="inlineStr">
        <is>
          <t>FR-025</t>
        </is>
      </c>
      <c r="B26" s="8" t="inlineStr">
        <is>
          <t>Evaluation</t>
        </is>
      </c>
      <c r="C26" s="4" t="inlineStr">
        <is>
          <t>Scoring shall follow a two-envelope model of technical 70 and commercial 30 against a rubric published in advance.</t>
        </is>
      </c>
      <c r="D26" s="8" t="inlineStr">
        <is>
          <t>Evaluator</t>
        </is>
      </c>
      <c r="E26" s="8" t="inlineStr">
        <is>
          <t>M</t>
        </is>
      </c>
      <c r="F26" s="8" t="inlineStr">
        <is>
          <t>FUN</t>
        </is>
      </c>
      <c r="G26" s="4" t="inlineStr">
        <is>
          <t>Charter 4.5</t>
        </is>
      </c>
      <c r="H26" s="8" t="inlineStr">
        <is>
          <t>SDD 8.3</t>
        </is>
      </c>
      <c r="I26" s="4" t="inlineStr">
        <is>
          <t>workflow.test.mjs / score</t>
        </is>
      </c>
      <c r="J26" s="8" t="inlineStr">
        <is>
          <t>-</t>
        </is>
      </c>
      <c r="K26" s="8" t="inlineStr">
        <is>
          <t>Verified</t>
        </is>
      </c>
    </row>
    <row r="27">
      <c r="A27" s="12" t="inlineStr">
        <is>
          <t>FR-026</t>
        </is>
      </c>
      <c r="B27" s="12" t="inlineStr">
        <is>
          <t>Evaluation</t>
        </is>
      </c>
      <c r="C27" s="13" t="inlineStr">
        <is>
          <t>A technical score below 45 of 70 shall disqualify an application regardless of its commercial score.</t>
        </is>
      </c>
      <c r="D27" s="12" t="inlineStr">
        <is>
          <t>System</t>
        </is>
      </c>
      <c r="E27" s="12" t="inlineStr">
        <is>
          <t>M</t>
        </is>
      </c>
      <c r="F27" s="12" t="inlineStr">
        <is>
          <t>FUN</t>
        </is>
      </c>
      <c r="G27" s="13" t="inlineStr">
        <is>
          <t>Charter 4.5</t>
        </is>
      </c>
      <c r="H27" s="12" t="inlineStr">
        <is>
          <t>SDD 8.3</t>
        </is>
      </c>
      <c r="I27" s="13" t="inlineStr">
        <is>
          <t>workflow.test.mjs / score</t>
        </is>
      </c>
      <c r="J27" s="12" t="inlineStr">
        <is>
          <t>-</t>
        </is>
      </c>
      <c r="K27" s="12" t="inlineStr">
        <is>
          <t>Verified</t>
        </is>
      </c>
    </row>
    <row r="28">
      <c r="A28" s="8" t="inlineStr">
        <is>
          <t>FR-027</t>
        </is>
      </c>
      <c r="B28" s="8" t="inlineStr">
        <is>
          <t>Evaluation</t>
        </is>
      </c>
      <c r="C28" s="4" t="inlineStr">
        <is>
          <t>A submitted score shall be immutable.</t>
        </is>
      </c>
      <c r="D28" s="8" t="inlineStr">
        <is>
          <t>Evaluator</t>
        </is>
      </c>
      <c r="E28" s="8" t="inlineStr">
        <is>
          <t>M</t>
        </is>
      </c>
      <c r="F28" s="8" t="inlineStr">
        <is>
          <t>SEC</t>
        </is>
      </c>
      <c r="G28" s="4" t="inlineStr">
        <is>
          <t>Integrity control</t>
        </is>
      </c>
      <c r="H28" s="8" t="inlineStr">
        <is>
          <t>SDD 9.2</t>
        </is>
      </c>
      <c r="I28" s="4" t="inlineStr">
        <is>
          <t>workflow.test.mjs / lock</t>
        </is>
      </c>
      <c r="J28" s="8" t="inlineStr">
        <is>
          <t>AUDIT</t>
        </is>
      </c>
      <c r="K28" s="8" t="inlineStr">
        <is>
          <t>Verified</t>
        </is>
      </c>
    </row>
    <row r="29">
      <c r="A29" s="12" t="inlineStr">
        <is>
          <t>FR-028</t>
        </is>
      </c>
      <c r="B29" s="12" t="inlineStr">
        <is>
          <t>Evaluation</t>
        </is>
      </c>
      <c r="C29" s="13" t="inlineStr">
        <is>
          <t>Where committee scores differ by more than 20 marks the platform shall flag a mandatory reconciliation sitting.</t>
        </is>
      </c>
      <c r="D29" s="12" t="inlineStr">
        <is>
          <t>Nodal Officer</t>
        </is>
      </c>
      <c r="E29" s="12" t="inlineStr">
        <is>
          <t>S</t>
        </is>
      </c>
      <c r="F29" s="12" t="inlineStr">
        <is>
          <t>FUN</t>
        </is>
      </c>
      <c r="G29" s="13" t="inlineStr">
        <is>
          <t>Integrity control</t>
        </is>
      </c>
      <c r="H29" s="12" t="inlineStr">
        <is>
          <t>SDD 8.3</t>
        </is>
      </c>
      <c r="I29" s="13" t="inlineStr">
        <is>
          <t>Manual - Application detail</t>
        </is>
      </c>
      <c r="J29" s="12" t="inlineStr">
        <is>
          <t>-</t>
        </is>
      </c>
      <c r="K29" s="12" t="inlineStr">
        <is>
          <t>Verified</t>
        </is>
      </c>
    </row>
    <row r="30">
      <c r="A30" s="8" t="inlineStr">
        <is>
          <t>FR-029</t>
        </is>
      </c>
      <c r="B30" s="8" t="inlineStr">
        <is>
          <t>Evaluation</t>
        </is>
      </c>
      <c r="C30" s="4" t="inlineStr">
        <is>
          <t>The platform shall produce a comparative statement of all applications to a problem statement with committee averages.</t>
        </is>
      </c>
      <c r="D30" s="8" t="inlineStr">
        <is>
          <t>Department Head</t>
        </is>
      </c>
      <c r="E30" s="8" t="inlineStr">
        <is>
          <t>S</t>
        </is>
      </c>
      <c r="F30" s="8" t="inlineStr">
        <is>
          <t>RPT</t>
        </is>
      </c>
      <c r="G30" s="4" t="inlineStr">
        <is>
          <t>Charter 4.5</t>
        </is>
      </c>
      <c r="H30" s="8" t="inlineStr">
        <is>
          <t>SDD 8.3</t>
        </is>
      </c>
      <c r="I30" s="4" t="inlineStr">
        <is>
          <t>GET /evaluations/challenge/:id/summary</t>
        </is>
      </c>
      <c r="J30" s="8" t="inlineStr">
        <is>
          <t>-</t>
        </is>
      </c>
      <c r="K30" s="8" t="inlineStr">
        <is>
          <t>Developed</t>
        </is>
      </c>
    </row>
    <row r="31">
      <c r="A31" s="12" t="inlineStr">
        <is>
          <t>FR-030</t>
        </is>
      </c>
      <c r="B31" s="12" t="inlineStr">
        <is>
          <t>Pilot</t>
        </is>
      </c>
      <c r="C31" s="13" t="inlineStr">
        <is>
          <t>A pilot shall be created only from a shortlisted application and only within the published budget ceiling.</t>
        </is>
      </c>
      <c r="D31" s="12" t="inlineStr">
        <is>
          <t>Nodal Officer</t>
        </is>
      </c>
      <c r="E31" s="12" t="inlineStr">
        <is>
          <t>M</t>
        </is>
      </c>
      <c r="F31" s="12" t="inlineStr">
        <is>
          <t>FUN</t>
        </is>
      </c>
      <c r="G31" s="13" t="inlineStr">
        <is>
          <t>Charter 4.6</t>
        </is>
      </c>
      <c r="H31" s="12" t="inlineStr">
        <is>
          <t>SDD 8.8</t>
        </is>
      </c>
      <c r="I31" s="13" t="inlineStr">
        <is>
          <t>workflow.test.mjs / over-ceiling sanction</t>
        </is>
      </c>
      <c r="J31" s="12" t="inlineStr">
        <is>
          <t>-</t>
        </is>
      </c>
      <c r="K31" s="12" t="inlineStr">
        <is>
          <t>Verified</t>
        </is>
      </c>
    </row>
    <row r="32">
      <c r="A32" s="8" t="inlineStr">
        <is>
          <t>FR-031</t>
        </is>
      </c>
      <c r="B32" s="8" t="inlineStr">
        <is>
          <t>Pilot</t>
        </is>
      </c>
      <c r="C32" s="4" t="inlineStr">
        <is>
          <t>Milestone payout percentages shall sum to exactly one hundred before a pilot can be created.</t>
        </is>
      </c>
      <c r="D32" s="8" t="inlineStr">
        <is>
          <t>System</t>
        </is>
      </c>
      <c r="E32" s="8" t="inlineStr">
        <is>
          <t>M</t>
        </is>
      </c>
      <c r="F32" s="8" t="inlineStr">
        <is>
          <t>FUN</t>
        </is>
      </c>
      <c r="G32" s="4" t="inlineStr">
        <is>
          <t>Financial control</t>
        </is>
      </c>
      <c r="H32" s="8" t="inlineStr">
        <is>
          <t>SDD 8.8</t>
        </is>
      </c>
      <c r="I32" s="4" t="inlineStr">
        <is>
          <t>workflow.test.mjs / milestone total</t>
        </is>
      </c>
      <c r="J32" s="8" t="inlineStr">
        <is>
          <t>-</t>
        </is>
      </c>
      <c r="K32" s="8" t="inlineStr">
        <is>
          <t>Verified</t>
        </is>
      </c>
    </row>
    <row r="33">
      <c r="A33" s="12" t="inlineStr">
        <is>
          <t>FR-032</t>
        </is>
      </c>
      <c r="B33" s="12" t="inlineStr">
        <is>
          <t>Pilot</t>
        </is>
      </c>
      <c r="C33" s="13" t="inlineStr">
        <is>
          <t>A pilot shall not become active until the DPDP data processing agreement is recorded.</t>
        </is>
      </c>
      <c r="D33" s="12" t="inlineStr">
        <is>
          <t>System</t>
        </is>
      </c>
      <c r="E33" s="12" t="inlineStr">
        <is>
          <t>M</t>
        </is>
      </c>
      <c r="F33" s="12" t="inlineStr">
        <is>
          <t>CMP</t>
        </is>
      </c>
      <c r="G33" s="13" t="inlineStr">
        <is>
          <t>DPDP Act 2023</t>
        </is>
      </c>
      <c r="H33" s="12" t="inlineStr">
        <is>
          <t>SDD 9.4</t>
        </is>
      </c>
      <c r="I33" s="13" t="inlineStr">
        <is>
          <t>workflow.test.mjs / DPDP gate</t>
        </is>
      </c>
      <c r="J33" s="12" t="inlineStr">
        <is>
          <t>DPDP-DPA</t>
        </is>
      </c>
      <c r="K33" s="12" t="inlineStr">
        <is>
          <t>Verified</t>
        </is>
      </c>
    </row>
    <row r="34">
      <c r="A34" s="8" t="inlineStr">
        <is>
          <t>FR-033</t>
        </is>
      </c>
      <c r="B34" s="8" t="inlineStr">
        <is>
          <t>Pilot</t>
        </is>
      </c>
      <c r="C34" s="4" t="inlineStr">
        <is>
          <t>A startup shall submit evidence against each milestone and the department shall accept or return it with remarks.</t>
        </is>
      </c>
      <c r="D34" s="8" t="inlineStr">
        <is>
          <t>Startup</t>
        </is>
      </c>
      <c r="E34" s="8" t="inlineStr">
        <is>
          <t>M</t>
        </is>
      </c>
      <c r="F34" s="8" t="inlineStr">
        <is>
          <t>FUN</t>
        </is>
      </c>
      <c r="G34" s="4" t="inlineStr">
        <is>
          <t>Charter 4.6</t>
        </is>
      </c>
      <c r="H34" s="8" t="inlineStr">
        <is>
          <t>SDD 8.8</t>
        </is>
      </c>
      <c r="I34" s="4" t="inlineStr">
        <is>
          <t>workflow.test.mjs / milestone</t>
        </is>
      </c>
      <c r="J34" s="8" t="inlineStr">
        <is>
          <t>-</t>
        </is>
      </c>
      <c r="K34" s="8" t="inlineStr">
        <is>
          <t>Verified</t>
        </is>
      </c>
    </row>
    <row r="35">
      <c r="A35" s="12" t="inlineStr">
        <is>
          <t>FR-034</t>
        </is>
      </c>
      <c r="B35" s="12" t="inlineStr">
        <is>
          <t>Pilot</t>
        </is>
      </c>
      <c r="C35" s="13" t="inlineStr">
        <is>
          <t>Acceptance of a milestone shall automatically raise a payment due within forty-five days.</t>
        </is>
      </c>
      <c r="D35" s="12" t="inlineStr">
        <is>
          <t>System</t>
        </is>
      </c>
      <c r="E35" s="12" t="inlineStr">
        <is>
          <t>M</t>
        </is>
      </c>
      <c r="F35" s="12" t="inlineStr">
        <is>
          <t>CMP</t>
        </is>
      </c>
      <c r="G35" s="13" t="inlineStr">
        <is>
          <t>MSMED Act 2006 s.15</t>
        </is>
      </c>
      <c r="H35" s="12" t="inlineStr">
        <is>
          <t>SDD 8.9</t>
        </is>
      </c>
      <c r="I35" s="13" t="inlineStr">
        <is>
          <t>workflow.test.mjs / 45-day window</t>
        </is>
      </c>
      <c r="J35" s="12" t="inlineStr">
        <is>
          <t>MSMED-45</t>
        </is>
      </c>
      <c r="K35" s="12" t="inlineStr">
        <is>
          <t>Verified</t>
        </is>
      </c>
    </row>
    <row r="36">
      <c r="A36" s="8" t="inlineStr">
        <is>
          <t>FR-035</t>
        </is>
      </c>
      <c r="B36" s="8" t="inlineStr">
        <is>
          <t>Pilot</t>
        </is>
      </c>
      <c r="C36" s="4" t="inlineStr">
        <is>
          <t>KPI readings shall be recorded per period by the startup and by the pilot monitor, each attributed.</t>
        </is>
      </c>
      <c r="D36" s="8" t="inlineStr">
        <is>
          <t>Pilot Monitor</t>
        </is>
      </c>
      <c r="E36" s="8" t="inlineStr">
        <is>
          <t>M</t>
        </is>
      </c>
      <c r="F36" s="8" t="inlineStr">
        <is>
          <t>FUN</t>
        </is>
      </c>
      <c r="G36" s="4" t="inlineStr">
        <is>
          <t>Charter 4.6</t>
        </is>
      </c>
      <c r="H36" s="8" t="inlineStr">
        <is>
          <t>SDD 8.8</t>
        </is>
      </c>
      <c r="I36" s="4" t="inlineStr">
        <is>
          <t>workflow.test.mjs / KPI</t>
        </is>
      </c>
      <c r="J36" s="8" t="inlineStr">
        <is>
          <t>-</t>
        </is>
      </c>
      <c r="K36" s="8" t="inlineStr">
        <is>
          <t>Verified</t>
        </is>
      </c>
    </row>
    <row r="37">
      <c r="A37" s="12" t="inlineStr">
        <is>
          <t>FR-036</t>
        </is>
      </c>
      <c r="B37" s="12" t="inlineStr">
        <is>
          <t>Pilot</t>
        </is>
      </c>
      <c r="C37" s="13" t="inlineStr">
        <is>
          <t>The platform shall compute attainment against each declared KPI, honouring the declared direction of improvement.</t>
        </is>
      </c>
      <c r="D37" s="12" t="inlineStr">
        <is>
          <t>System</t>
        </is>
      </c>
      <c r="E37" s="12" t="inlineStr">
        <is>
          <t>M</t>
        </is>
      </c>
      <c r="F37" s="12" t="inlineStr">
        <is>
          <t>FUN</t>
        </is>
      </c>
      <c r="G37" s="13" t="inlineStr">
        <is>
          <t>Charter 4.6</t>
        </is>
      </c>
      <c r="H37" s="12" t="inlineStr">
        <is>
          <t>SDD 8.8</t>
        </is>
      </c>
      <c r="I37" s="13" t="inlineStr">
        <is>
          <t>workflow.test.mjs / scorecard</t>
        </is>
      </c>
      <c r="J37" s="12" t="inlineStr">
        <is>
          <t>-</t>
        </is>
      </c>
      <c r="K37" s="12" t="inlineStr">
        <is>
          <t>Verified</t>
        </is>
      </c>
    </row>
    <row r="38">
      <c r="A38" s="8" t="inlineStr">
        <is>
          <t>FR-037</t>
        </is>
      </c>
      <c r="B38" s="8" t="inlineStr">
        <is>
          <t>Pilot</t>
        </is>
      </c>
      <c r="C38" s="4" t="inlineStr">
        <is>
          <t>Only a pilot monitor or department head shall record the closure verdict of SUCCESS, PARTIAL or FAILED.</t>
        </is>
      </c>
      <c r="D38" s="8" t="inlineStr">
        <is>
          <t>Pilot Monitor</t>
        </is>
      </c>
      <c r="E38" s="8" t="inlineStr">
        <is>
          <t>M</t>
        </is>
      </c>
      <c r="F38" s="8" t="inlineStr">
        <is>
          <t>FUN</t>
        </is>
      </c>
      <c r="G38" s="4" t="inlineStr">
        <is>
          <t>Separation of duties</t>
        </is>
      </c>
      <c r="H38" s="8" t="inlineStr">
        <is>
          <t>SDD 9.2</t>
        </is>
      </c>
      <c r="I38" s="4" t="inlineStr">
        <is>
          <t>workflow.test.mjs / verdict</t>
        </is>
      </c>
      <c r="J38" s="8" t="inlineStr">
        <is>
          <t>SOD</t>
        </is>
      </c>
      <c r="K38" s="8" t="inlineStr">
        <is>
          <t>Verified</t>
        </is>
      </c>
    </row>
    <row r="39">
      <c r="A39" s="12" t="inlineStr">
        <is>
          <t>FR-038</t>
        </is>
      </c>
      <c r="B39" s="12" t="inlineStr">
        <is>
          <t>Pilot</t>
        </is>
      </c>
      <c r="C39" s="13" t="inlineStr">
        <is>
          <t>A failed pilot shall close with structured feedback and shall place no bar on future applications by that startup.</t>
        </is>
      </c>
      <c r="D39" s="12" t="inlineStr">
        <is>
          <t>System</t>
        </is>
      </c>
      <c r="E39" s="12" t="inlineStr">
        <is>
          <t>M</t>
        </is>
      </c>
      <c r="F39" s="12" t="inlineStr">
        <is>
          <t>FUN</t>
        </is>
      </c>
      <c r="G39" s="13" t="inlineStr">
        <is>
          <t>Charter 3.2</t>
        </is>
      </c>
      <c r="H39" s="12" t="inlineStr">
        <is>
          <t>SDD 8.8</t>
        </is>
      </c>
      <c r="I39" s="13" t="inlineStr">
        <is>
          <t>Manual - pilot closure</t>
        </is>
      </c>
      <c r="J39" s="12" t="inlineStr">
        <is>
          <t>-</t>
        </is>
      </c>
      <c r="K39" s="12" t="inlineStr">
        <is>
          <t>Verified</t>
        </is>
      </c>
    </row>
    <row r="40">
      <c r="A40" s="8" t="inlineStr">
        <is>
          <t>FR-039</t>
        </is>
      </c>
      <c r="B40" s="8" t="inlineStr">
        <is>
          <t>Procurement</t>
        </is>
      </c>
      <c r="C40" s="4" t="inlineStr">
        <is>
          <t>A procurement shall not be drafted against a pilot that has no recorded SUCCESS or PARTIAL verdict.</t>
        </is>
      </c>
      <c r="D40" s="8" t="inlineStr">
        <is>
          <t>System</t>
        </is>
      </c>
      <c r="E40" s="8" t="inlineStr">
        <is>
          <t>M</t>
        </is>
      </c>
      <c r="F40" s="8" t="inlineStr">
        <is>
          <t>FUN</t>
        </is>
      </c>
      <c r="G40" s="4" t="inlineStr">
        <is>
          <t>Evidence gate</t>
        </is>
      </c>
      <c r="H40" s="8" t="inlineStr">
        <is>
          <t>SDD 8.10</t>
        </is>
      </c>
      <c r="I40" s="4" t="inlineStr">
        <is>
          <t>workflow.test.mjs / evidence gate</t>
        </is>
      </c>
      <c r="J40" s="8" t="inlineStr">
        <is>
          <t>AUDIT-DEFENSIBLE</t>
        </is>
      </c>
      <c r="K40" s="8" t="inlineStr">
        <is>
          <t>Verified</t>
        </is>
      </c>
    </row>
    <row r="41">
      <c r="A41" s="12" t="inlineStr">
        <is>
          <t>FR-040</t>
        </is>
      </c>
      <c r="B41" s="12" t="inlineStr">
        <is>
          <t>Procurement</t>
        </is>
      </c>
      <c r="C41" s="13" t="inlineStr">
        <is>
          <t>Every procurement shall name its mode and the General Financial Rules provision it rests on.</t>
        </is>
      </c>
      <c r="D41" s="12" t="inlineStr">
        <is>
          <t>Procurement Officer</t>
        </is>
      </c>
      <c r="E41" s="12" t="inlineStr">
        <is>
          <t>M</t>
        </is>
      </c>
      <c r="F41" s="12" t="inlineStr">
        <is>
          <t>CMP</t>
        </is>
      </c>
      <c r="G41" s="13" t="inlineStr">
        <is>
          <t>GFR 2017</t>
        </is>
      </c>
      <c r="H41" s="12" t="inlineStr">
        <is>
          <t>SDD 8.10</t>
        </is>
      </c>
      <c r="I41" s="13" t="inlineStr">
        <is>
          <t>workflow.test.mjs / GFR rule</t>
        </is>
      </c>
      <c r="J41" s="12" t="inlineStr">
        <is>
          <t>GFR-MODE</t>
        </is>
      </c>
      <c r="K41" s="12" t="inlineStr">
        <is>
          <t>Verified</t>
        </is>
      </c>
    </row>
    <row r="42">
      <c r="A42" s="8" t="inlineStr">
        <is>
          <t>FR-041</t>
        </is>
      </c>
      <c r="B42" s="8" t="inlineStr">
        <is>
          <t>Procurement</t>
        </is>
      </c>
      <c r="C42" s="4" t="inlineStr">
        <is>
          <t>A written justification of at least fifty characters shall be mandatory and shall be written to the audit record.</t>
        </is>
      </c>
      <c r="D42" s="8" t="inlineStr">
        <is>
          <t>Procurement Officer</t>
        </is>
      </c>
      <c r="E42" s="8" t="inlineStr">
        <is>
          <t>M</t>
        </is>
      </c>
      <c r="F42" s="8" t="inlineStr">
        <is>
          <t>CMP</t>
        </is>
      </c>
      <c r="G42" s="4" t="inlineStr">
        <is>
          <t>Audit requirement</t>
        </is>
      </c>
      <c r="H42" s="8" t="inlineStr">
        <is>
          <t>SDD 8.10</t>
        </is>
      </c>
      <c r="I42" s="4" t="inlineStr">
        <is>
          <t>workflow.test.mjs / procurement</t>
        </is>
      </c>
      <c r="J42" s="8" t="inlineStr">
        <is>
          <t>AUDIT</t>
        </is>
      </c>
      <c r="K42" s="8" t="inlineStr">
        <is>
          <t>Verified</t>
        </is>
      </c>
    </row>
    <row r="43">
      <c r="A43" s="12" t="inlineStr">
        <is>
          <t>FR-042</t>
        </is>
      </c>
      <c r="B43" s="12" t="inlineStr">
        <is>
          <t>Procurement</t>
        </is>
      </c>
      <c r="C43" s="13" t="inlineStr">
        <is>
          <t>Only a department head shall sanction a procurement; a procurement officer may prepare but not sanction.</t>
        </is>
      </c>
      <c r="D43" s="12" t="inlineStr">
        <is>
          <t>Department Head</t>
        </is>
      </c>
      <c r="E43" s="12" t="inlineStr">
        <is>
          <t>M</t>
        </is>
      </c>
      <c r="F43" s="12" t="inlineStr">
        <is>
          <t>SEC</t>
        </is>
      </c>
      <c r="G43" s="13" t="inlineStr">
        <is>
          <t>Separation of duties</t>
        </is>
      </c>
      <c r="H43" s="12" t="inlineStr">
        <is>
          <t>SDD 9.2</t>
        </is>
      </c>
      <c r="I43" s="13" t="inlineStr">
        <is>
          <t>workflow.test.mjs / sanction authority</t>
        </is>
      </c>
      <c r="J43" s="12" t="inlineStr">
        <is>
          <t>SOD</t>
        </is>
      </c>
      <c r="K43" s="12" t="inlineStr">
        <is>
          <t>Verified</t>
        </is>
      </c>
    </row>
    <row r="44">
      <c r="A44" s="8" t="inlineStr">
        <is>
          <t>FR-043</t>
        </is>
      </c>
      <c r="B44" s="8" t="inlineStr">
        <is>
          <t>Procurement</t>
        </is>
      </c>
      <c r="C44" s="4" t="inlineStr">
        <is>
          <t>Issue of a purchase order shall generate a purchase order number and raise an advance payment.</t>
        </is>
      </c>
      <c r="D44" s="8" t="inlineStr">
        <is>
          <t>Procurement Officer</t>
        </is>
      </c>
      <c r="E44" s="8" t="inlineStr">
        <is>
          <t>M</t>
        </is>
      </c>
      <c r="F44" s="8" t="inlineStr">
        <is>
          <t>FUN</t>
        </is>
      </c>
      <c r="G44" s="4" t="inlineStr">
        <is>
          <t>Charter 4.7</t>
        </is>
      </c>
      <c r="H44" s="8" t="inlineStr">
        <is>
          <t>SDD 8.10</t>
        </is>
      </c>
      <c r="I44" s="4" t="inlineStr">
        <is>
          <t>workflow.test.mjs / PO</t>
        </is>
      </c>
      <c r="J44" s="8" t="inlineStr">
        <is>
          <t>-</t>
        </is>
      </c>
      <c r="K44" s="8" t="inlineStr">
        <is>
          <t>Verified</t>
        </is>
      </c>
    </row>
    <row r="45">
      <c r="A45" s="12" t="inlineStr">
        <is>
          <t>FR-044</t>
        </is>
      </c>
      <c r="B45" s="12" t="inlineStr">
        <is>
          <t>Procurement</t>
        </is>
      </c>
      <c r="C45" s="13" t="inlineStr">
        <is>
          <t>A payment release shall record a PFMS transaction reference.</t>
        </is>
      </c>
      <c r="D45" s="12" t="inlineStr">
        <is>
          <t>Procurement Officer</t>
        </is>
      </c>
      <c r="E45" s="12" t="inlineStr">
        <is>
          <t>M</t>
        </is>
      </c>
      <c r="F45" s="12" t="inlineStr">
        <is>
          <t>INT</t>
        </is>
      </c>
      <c r="G45" s="13" t="inlineStr">
        <is>
          <t>PFMS integration</t>
        </is>
      </c>
      <c r="H45" s="12" t="inlineStr">
        <is>
          <t>SDD 8.9</t>
        </is>
      </c>
      <c r="I45" s="13" t="inlineStr">
        <is>
          <t>Manual - Procurement detail</t>
        </is>
      </c>
      <c r="J45" s="12" t="inlineStr">
        <is>
          <t>-</t>
        </is>
      </c>
      <c r="K45" s="12" t="inlineStr">
        <is>
          <t>Developed</t>
        </is>
      </c>
    </row>
    <row r="46">
      <c r="A46" s="8" t="inlineStr">
        <is>
          <t>FR-045</t>
        </is>
      </c>
      <c r="B46" s="8" t="inlineStr">
        <is>
          <t>Catalogue</t>
        </is>
      </c>
      <c r="C46" s="4" t="inlineStr">
        <is>
          <t>A live or completed contract shall be listable on the Proven Solutions Registry with the measured pilot KPIs attached.</t>
        </is>
      </c>
      <c r="D46" s="8" t="inlineStr">
        <is>
          <t>Procurement Officer</t>
        </is>
      </c>
      <c r="E46" s="8" t="inlineStr">
        <is>
          <t>M</t>
        </is>
      </c>
      <c r="F46" s="8" t="inlineStr">
        <is>
          <t>FUN</t>
        </is>
      </c>
      <c r="G46" s="4" t="inlineStr">
        <is>
          <t>Charter 4.8</t>
        </is>
      </c>
      <c r="H46" s="8" t="inlineStr">
        <is>
          <t>SDD 8.11</t>
        </is>
      </c>
      <c r="I46" s="4" t="inlineStr">
        <is>
          <t>workflow.test.mjs / listing</t>
        </is>
      </c>
      <c r="J46" s="8" t="inlineStr">
        <is>
          <t>-</t>
        </is>
      </c>
      <c r="K46" s="8" t="inlineStr">
        <is>
          <t>Verified</t>
        </is>
      </c>
    </row>
    <row r="47">
      <c r="A47" s="12" t="inlineStr">
        <is>
          <t>FR-046</t>
        </is>
      </c>
      <c r="B47" s="12" t="inlineStr">
        <is>
          <t>Catalogue</t>
        </is>
      </c>
      <c r="C47" s="13" t="inlineStr">
        <is>
          <t>Any department shall be able to draw down a listed solution against its rate contract without repeating discovery, evaluation or pilot.</t>
        </is>
      </c>
      <c r="D47" s="12" t="inlineStr">
        <is>
          <t>Nodal Officer</t>
        </is>
      </c>
      <c r="E47" s="12" t="inlineStr">
        <is>
          <t>M</t>
        </is>
      </c>
      <c r="F47" s="12" t="inlineStr">
        <is>
          <t>FUN</t>
        </is>
      </c>
      <c r="G47" s="13" t="inlineStr">
        <is>
          <t>Charter 3.3</t>
        </is>
      </c>
      <c r="H47" s="12" t="inlineStr">
        <is>
          <t>SDD 8.11</t>
        </is>
      </c>
      <c r="I47" s="13" t="inlineStr">
        <is>
          <t>workflow.test.mjs / adoption</t>
        </is>
      </c>
      <c r="J47" s="12" t="inlineStr">
        <is>
          <t>GFR-145</t>
        </is>
      </c>
      <c r="K47" s="12" t="inlineStr">
        <is>
          <t>Verified</t>
        </is>
      </c>
    </row>
    <row r="48">
      <c r="A48" s="8" t="inlineStr">
        <is>
          <t>FR-047</t>
        </is>
      </c>
      <c r="B48" s="8" t="inlineStr">
        <is>
          <t>Catalogue</t>
        </is>
      </c>
      <c r="C48" s="4" t="inlineStr">
        <is>
          <t>A listing shall refuse adoption once its rate contract validity has lapsed.</t>
        </is>
      </c>
      <c r="D48" s="8" t="inlineStr">
        <is>
          <t>System</t>
        </is>
      </c>
      <c r="E48" s="8" t="inlineStr">
        <is>
          <t>M</t>
        </is>
      </c>
      <c r="F48" s="8" t="inlineStr">
        <is>
          <t>FUN</t>
        </is>
      </c>
      <c r="G48" s="4" t="inlineStr">
        <is>
          <t>Financial control</t>
        </is>
      </c>
      <c r="H48" s="8" t="inlineStr">
        <is>
          <t>SDD 8.11</t>
        </is>
      </c>
      <c r="I48" s="4" t="inlineStr">
        <is>
          <t>Manual - Catalogue</t>
        </is>
      </c>
      <c r="J48" s="8" t="inlineStr">
        <is>
          <t>-</t>
        </is>
      </c>
      <c r="K48" s="8" t="inlineStr">
        <is>
          <t>Verified</t>
        </is>
      </c>
    </row>
    <row r="49">
      <c r="A49" s="12" t="inlineStr">
        <is>
          <t>FR-048</t>
        </is>
      </c>
      <c r="B49" s="12" t="inlineStr">
        <is>
          <t>Grievance</t>
        </is>
      </c>
      <c r="C49" s="13" t="inlineStr">
        <is>
          <t>Any user shall raise a grievance under a declared category and receive a fifteen-day resolution SLA.</t>
        </is>
      </c>
      <c r="D49" s="12" t="inlineStr">
        <is>
          <t>Startup</t>
        </is>
      </c>
      <c r="E49" s="12" t="inlineStr">
        <is>
          <t>M</t>
        </is>
      </c>
      <c r="F49" s="12" t="inlineStr">
        <is>
          <t>FUN</t>
        </is>
      </c>
      <c r="G49" s="13" t="inlineStr">
        <is>
          <t>Natural justice</t>
        </is>
      </c>
      <c r="H49" s="12" t="inlineStr">
        <is>
          <t>SDD 8.12</t>
        </is>
      </c>
      <c r="I49" s="13" t="inlineStr">
        <is>
          <t>Manual - Grievances</t>
        </is>
      </c>
      <c r="J49" s="12" t="inlineStr">
        <is>
          <t>-</t>
        </is>
      </c>
      <c r="K49" s="12" t="inlineStr">
        <is>
          <t>Verified</t>
        </is>
      </c>
    </row>
    <row r="50">
      <c r="A50" s="8" t="inlineStr">
        <is>
          <t>FR-049</t>
        </is>
      </c>
      <c r="B50" s="8" t="inlineStr">
        <is>
          <t>Grievance</t>
        </is>
      </c>
      <c r="C50" s="4" t="inlineStr">
        <is>
          <t>A grievance resolution shall be recorded in writing and be visible to the person who raised it.</t>
        </is>
      </c>
      <c r="D50" s="8" t="inlineStr">
        <is>
          <t>Department Head</t>
        </is>
      </c>
      <c r="E50" s="8" t="inlineStr">
        <is>
          <t>M</t>
        </is>
      </c>
      <c r="F50" s="8" t="inlineStr">
        <is>
          <t>FUN</t>
        </is>
      </c>
      <c r="G50" s="4" t="inlineStr">
        <is>
          <t>Natural justice</t>
        </is>
      </c>
      <c r="H50" s="8" t="inlineStr">
        <is>
          <t>SDD 8.12</t>
        </is>
      </c>
      <c r="I50" s="4" t="inlineStr">
        <is>
          <t>Manual - Grievances</t>
        </is>
      </c>
      <c r="J50" s="8" t="inlineStr">
        <is>
          <t>AUDIT</t>
        </is>
      </c>
      <c r="K50" s="8" t="inlineStr">
        <is>
          <t>Verified</t>
        </is>
      </c>
    </row>
    <row r="51">
      <c r="A51" s="12" t="inlineStr">
        <is>
          <t>FR-050</t>
        </is>
      </c>
      <c r="B51" s="12" t="inlineStr">
        <is>
          <t>Reporting</t>
        </is>
      </c>
      <c r="C51" s="13" t="inlineStr">
        <is>
          <t>The platform shall publish, without authentication, a conversion funnel, cycle-time medians, sector distribution, department activity and payment SLA performance.</t>
        </is>
      </c>
      <c r="D51" s="12" t="inlineStr">
        <is>
          <t>Public</t>
        </is>
      </c>
      <c r="E51" s="12" t="inlineStr">
        <is>
          <t>M</t>
        </is>
      </c>
      <c r="F51" s="12" t="inlineStr">
        <is>
          <t>RPT</t>
        </is>
      </c>
      <c r="G51" s="13" t="inlineStr">
        <is>
          <t>Transparency</t>
        </is>
      </c>
      <c r="H51" s="12" t="inlineStr">
        <is>
          <t>SDD 8.5</t>
        </is>
      </c>
      <c r="I51" s="13" t="inlineStr">
        <is>
          <t>workflow.test.mjs / public board</t>
        </is>
      </c>
      <c r="J51" s="12" t="inlineStr">
        <is>
          <t>TRANSPARENCY</t>
        </is>
      </c>
      <c r="K51" s="12" t="inlineStr">
        <is>
          <t>Verified</t>
        </is>
      </c>
    </row>
    <row r="52">
      <c r="A52" s="8" t="inlineStr">
        <is>
          <t>FR-051</t>
        </is>
      </c>
      <c r="B52" s="8" t="inlineStr">
        <is>
          <t>Reporting</t>
        </is>
      </c>
      <c r="C52" s="4" t="inlineStr">
        <is>
          <t>Cycle time shall be measured from the transactional tables, not from a separately maintained reporting copy.</t>
        </is>
      </c>
      <c r="D52" s="8" t="inlineStr">
        <is>
          <t>Public</t>
        </is>
      </c>
      <c r="E52" s="8" t="inlineStr">
        <is>
          <t>S</t>
        </is>
      </c>
      <c r="F52" s="8" t="inlineStr">
        <is>
          <t>RPT</t>
        </is>
      </c>
      <c r="G52" s="4" t="inlineStr">
        <is>
          <t>Transparency</t>
        </is>
      </c>
      <c r="H52" s="8" t="inlineStr">
        <is>
          <t>SDD 8.5</t>
        </is>
      </c>
      <c r="I52" s="4" t="inlineStr">
        <is>
          <t>GET /dashboard/public</t>
        </is>
      </c>
      <c r="J52" s="8" t="inlineStr">
        <is>
          <t>TRANSPARENCY</t>
        </is>
      </c>
      <c r="K52" s="8" t="inlineStr">
        <is>
          <t>Verified</t>
        </is>
      </c>
    </row>
    <row r="53">
      <c r="A53" s="12" t="inlineStr">
        <is>
          <t>FR-052</t>
        </is>
      </c>
      <c r="B53" s="12" t="inlineStr">
        <is>
          <t>Notification</t>
        </is>
      </c>
      <c r="C53" s="13" t="inlineStr">
        <is>
          <t>The platform shall notify a user in-app on every state change that affects a record they own or oversee.</t>
        </is>
      </c>
      <c r="D53" s="12" t="inlineStr">
        <is>
          <t>All</t>
        </is>
      </c>
      <c r="E53" s="12" t="inlineStr">
        <is>
          <t>S</t>
        </is>
      </c>
      <c r="F53" s="12" t="inlineStr">
        <is>
          <t>FUN</t>
        </is>
      </c>
      <c r="G53" s="13" t="inlineStr">
        <is>
          <t>Charter 4.9</t>
        </is>
      </c>
      <c r="H53" s="12" t="inlineStr">
        <is>
          <t>SDD 8.6</t>
        </is>
      </c>
      <c r="I53" s="13" t="inlineStr">
        <is>
          <t>Manual - notification panel</t>
        </is>
      </c>
      <c r="J53" s="12" t="inlineStr">
        <is>
          <t>-</t>
        </is>
      </c>
      <c r="K53" s="12" t="inlineStr">
        <is>
          <t>Verified</t>
        </is>
      </c>
    </row>
  </sheetData>
  <autoFilter ref="A1:K53"/>
  <dataValidations count="1">
    <dataValidation sqref="K2:K53" showDropDown="0" showInputMessage="0" showErrorMessage="0" allowBlank="1" type="list">
      <formula1>"Proposed,Approved,In Design,Developed,Tested,Verified"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74" customWidth="1" min="3" max="3"/>
    <col width="20" customWidth="1" min="4" max="4"/>
    <col width="6" customWidth="1" min="5" max="5"/>
    <col width="7" customWidth="1" min="6" max="6"/>
    <col width="26" customWidth="1" min="7" max="7"/>
    <col width="16" customWidth="1" min="8" max="8"/>
    <col width="30" customWidth="1" min="9" max="9"/>
    <col width="20" customWidth="1" min="10" max="10"/>
    <col width="12" customWidth="1" min="11" max="11"/>
  </cols>
  <sheetData>
    <row r="1" ht="30" customHeight="1">
      <c r="A1" s="7" t="inlineStr">
        <is>
          <t>Req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User Role</t>
        </is>
      </c>
      <c r="E1" s="7" t="inlineStr">
        <is>
          <t>Pri</t>
        </is>
      </c>
      <c r="F1" s="7" t="inlineStr">
        <is>
          <t>Type</t>
        </is>
      </c>
      <c r="G1" s="7" t="inlineStr">
        <is>
          <t>Source</t>
        </is>
      </c>
      <c r="H1" s="7" t="inlineStr">
        <is>
          <t>Design Ref</t>
        </is>
      </c>
      <c r="I1" s="7" t="inlineStr">
        <is>
          <t>Test Ref</t>
        </is>
      </c>
      <c r="J1" s="7" t="inlineStr">
        <is>
          <t>Compliance Tag</t>
        </is>
      </c>
      <c r="K1" s="7" t="inlineStr">
        <is>
          <t>Status</t>
        </is>
      </c>
    </row>
    <row r="2">
      <c r="A2" s="8" t="inlineStr">
        <is>
          <t>SR-001</t>
        </is>
      </c>
      <c r="B2" s="8" t="inlineStr">
        <is>
          <t>AuthN</t>
        </is>
      </c>
      <c r="C2" s="4" t="inlineStr">
        <is>
          <t>Passwords shall be stored only as bcrypt hashes with a per-password salt and shall never be returned by any endpoint.</t>
        </is>
      </c>
      <c r="D2" s="8" t="inlineStr">
        <is>
          <t>System</t>
        </is>
      </c>
      <c r="E2" s="8" t="inlineStr">
        <is>
          <t>M</t>
        </is>
      </c>
      <c r="F2" s="8" t="inlineStr">
        <is>
          <t>SEC</t>
        </is>
      </c>
      <c r="G2" s="4" t="inlineStr">
        <is>
          <t>OWASP ASVS 2.4</t>
        </is>
      </c>
      <c r="H2" s="8" t="inlineStr">
        <is>
          <t>SDD 9.1</t>
        </is>
      </c>
      <c r="I2" s="4" t="inlineStr">
        <is>
          <t>Code review - auth.js</t>
        </is>
      </c>
      <c r="J2" s="8" t="inlineStr">
        <is>
          <t>-</t>
        </is>
      </c>
      <c r="K2" s="8" t="inlineStr">
        <is>
          <t>Verified</t>
        </is>
      </c>
    </row>
    <row r="3">
      <c r="A3" s="12" t="inlineStr">
        <is>
          <t>SR-002</t>
        </is>
      </c>
      <c r="B3" s="12" t="inlineStr">
        <is>
          <t>AuthN</t>
        </is>
      </c>
      <c r="C3" s="13" t="inlineStr">
        <is>
          <t>Sessions shall use a signed JSON Web Token with an expiry of not more than eight hours.</t>
        </is>
      </c>
      <c r="D3" s="12" t="inlineStr">
        <is>
          <t>System</t>
        </is>
      </c>
      <c r="E3" s="12" t="inlineStr">
        <is>
          <t>M</t>
        </is>
      </c>
      <c r="F3" s="12" t="inlineStr">
        <is>
          <t>SEC</t>
        </is>
      </c>
      <c r="G3" s="13" t="inlineStr">
        <is>
          <t>OWASP ASVS 3.3</t>
        </is>
      </c>
      <c r="H3" s="12" t="inlineStr">
        <is>
          <t>SDD 9.1</t>
        </is>
      </c>
      <c r="I3" s="13" t="inlineStr">
        <is>
          <t>Code review - auth.js</t>
        </is>
      </c>
      <c r="J3" s="12" t="inlineStr">
        <is>
          <t>-</t>
        </is>
      </c>
      <c r="K3" s="12" t="inlineStr">
        <is>
          <t>Verified</t>
        </is>
      </c>
    </row>
    <row r="4">
      <c r="A4" s="8" t="inlineStr">
        <is>
          <t>SR-003</t>
        </is>
      </c>
      <c r="B4" s="8" t="inlineStr">
        <is>
          <t>AuthN</t>
        </is>
      </c>
      <c r="C4" s="4" t="inlineStr">
        <is>
          <t>Every authenticated request shall reload the user record so that a suspended account fails immediately rather than at token expiry.</t>
        </is>
      </c>
      <c r="D4" s="8" t="inlineStr">
        <is>
          <t>System</t>
        </is>
      </c>
      <c r="E4" s="8" t="inlineStr">
        <is>
          <t>M</t>
        </is>
      </c>
      <c r="F4" s="8" t="inlineStr">
        <is>
          <t>SEC</t>
        </is>
      </c>
      <c r="G4" s="4" t="inlineStr">
        <is>
          <t>OWASP ASVS 3.3</t>
        </is>
      </c>
      <c r="H4" s="8" t="inlineStr">
        <is>
          <t>SDD 9.1</t>
        </is>
      </c>
      <c r="I4" s="4" t="inlineStr">
        <is>
          <t>Code review - authenticate()</t>
        </is>
      </c>
      <c r="J4" s="8" t="inlineStr">
        <is>
          <t>-</t>
        </is>
      </c>
      <c r="K4" s="8" t="inlineStr">
        <is>
          <t>Verified</t>
        </is>
      </c>
    </row>
    <row r="5">
      <c r="A5" s="12" t="inlineStr">
        <is>
          <t>SR-004</t>
        </is>
      </c>
      <c r="B5" s="12" t="inlineStr">
        <is>
          <t>AuthZ</t>
        </is>
      </c>
      <c r="C5" s="13" t="inlineStr">
        <is>
          <t>Role authorisation shall be enforced server-side on every route; client-side navigation shall not be relied upon as a control.</t>
        </is>
      </c>
      <c r="D5" s="12" t="inlineStr">
        <is>
          <t>System</t>
        </is>
      </c>
      <c r="E5" s="12" t="inlineStr">
        <is>
          <t>M</t>
        </is>
      </c>
      <c r="F5" s="12" t="inlineStr">
        <is>
          <t>SEC</t>
        </is>
      </c>
      <c r="G5" s="13" t="inlineStr">
        <is>
          <t>OWASP ASVS 4.1</t>
        </is>
      </c>
      <c r="H5" s="12" t="inlineStr">
        <is>
          <t>SDD 9.2</t>
        </is>
      </c>
      <c r="I5" s="13" t="inlineStr">
        <is>
          <t>workflow.test.mjs / cross-role</t>
        </is>
      </c>
      <c r="J5" s="12" t="inlineStr">
        <is>
          <t>-</t>
        </is>
      </c>
      <c r="K5" s="12" t="inlineStr">
        <is>
          <t>Verified</t>
        </is>
      </c>
    </row>
    <row r="6">
      <c r="A6" s="8" t="inlineStr">
        <is>
          <t>SR-005</t>
        </is>
      </c>
      <c r="B6" s="8" t="inlineStr">
        <is>
          <t>AuthZ</t>
        </is>
      </c>
      <c r="C6" s="4" t="inlineStr">
        <is>
          <t>Row-level ownership shall be checked on every read and write of a challenge, application, pilot, procurement or payment.</t>
        </is>
      </c>
      <c r="D6" s="8" t="inlineStr">
        <is>
          <t>System</t>
        </is>
      </c>
      <c r="E6" s="8" t="inlineStr">
        <is>
          <t>M</t>
        </is>
      </c>
      <c r="F6" s="8" t="inlineStr">
        <is>
          <t>SEC</t>
        </is>
      </c>
      <c r="G6" s="4" t="inlineStr">
        <is>
          <t>OWASP ASVS 4.2</t>
        </is>
      </c>
      <c r="H6" s="8" t="inlineStr">
        <is>
          <t>SDD 9.2</t>
        </is>
      </c>
      <c r="I6" s="4" t="inlineStr">
        <is>
          <t>workflow.test.mjs / cross-role</t>
        </is>
      </c>
      <c r="J6" s="8" t="inlineStr">
        <is>
          <t>-</t>
        </is>
      </c>
      <c r="K6" s="8" t="inlineStr">
        <is>
          <t>Verified</t>
        </is>
      </c>
    </row>
    <row r="7">
      <c r="A7" s="12" t="inlineStr">
        <is>
          <t>SR-006</t>
        </is>
      </c>
      <c r="B7" s="12" t="inlineStr">
        <is>
          <t>Input</t>
        </is>
      </c>
      <c r="C7" s="13" t="inlineStr">
        <is>
          <t>Every request body shall be parsed and coerced by a schema at the route boundary; a failure shall return field-level errors.</t>
        </is>
      </c>
      <c r="D7" s="12" t="inlineStr">
        <is>
          <t>System</t>
        </is>
      </c>
      <c r="E7" s="12" t="inlineStr">
        <is>
          <t>M</t>
        </is>
      </c>
      <c r="F7" s="12" t="inlineStr">
        <is>
          <t>SEC</t>
        </is>
      </c>
      <c r="G7" s="13" t="inlineStr">
        <is>
          <t>OWASP ASVS 5.1</t>
        </is>
      </c>
      <c r="H7" s="12" t="inlineStr">
        <is>
          <t>SDD 9.5</t>
        </is>
      </c>
      <c r="I7" s="13" t="inlineStr">
        <is>
          <t>workflow.test.mjs / no-KPI</t>
        </is>
      </c>
      <c r="J7" s="12" t="inlineStr">
        <is>
          <t>-</t>
        </is>
      </c>
      <c r="K7" s="12" t="inlineStr">
        <is>
          <t>Verified</t>
        </is>
      </c>
    </row>
    <row r="8">
      <c r="A8" s="8" t="inlineStr">
        <is>
          <t>SR-007</t>
        </is>
      </c>
      <c r="B8" s="8" t="inlineStr">
        <is>
          <t>Injection</t>
        </is>
      </c>
      <c r="C8" s="4" t="inlineStr">
        <is>
          <t>All database access shall use parameterised statements; no user input shall be concatenated into SQL.</t>
        </is>
      </c>
      <c r="D8" s="8" t="inlineStr">
        <is>
          <t>System</t>
        </is>
      </c>
      <c r="E8" s="8" t="inlineStr">
        <is>
          <t>M</t>
        </is>
      </c>
      <c r="F8" s="8" t="inlineStr">
        <is>
          <t>SEC</t>
        </is>
      </c>
      <c r="G8" s="4" t="inlineStr">
        <is>
          <t>OWASP ASVS 5.3</t>
        </is>
      </c>
      <c r="H8" s="8" t="inlineStr">
        <is>
          <t>SDD 9.5</t>
        </is>
      </c>
      <c r="I8" s="4" t="inlineStr">
        <is>
          <t>Code review - db/index.js</t>
        </is>
      </c>
      <c r="J8" s="8" t="inlineStr">
        <is>
          <t>-</t>
        </is>
      </c>
      <c r="K8" s="8" t="inlineStr">
        <is>
          <t>Verified</t>
        </is>
      </c>
    </row>
    <row r="9">
      <c r="A9" s="12" t="inlineStr">
        <is>
          <t>SR-008</t>
        </is>
      </c>
      <c r="B9" s="12" t="inlineStr">
        <is>
          <t>XSS</t>
        </is>
      </c>
      <c r="C9" s="13" t="inlineStr">
        <is>
          <t>The client shall not use raw HTML injection anywhere; all interpolation shall pass through framework escaping.</t>
        </is>
      </c>
      <c r="D9" s="12" t="inlineStr">
        <is>
          <t>System</t>
        </is>
      </c>
      <c r="E9" s="12" t="inlineStr">
        <is>
          <t>M</t>
        </is>
      </c>
      <c r="F9" s="12" t="inlineStr">
        <is>
          <t>SEC</t>
        </is>
      </c>
      <c r="G9" s="13" t="inlineStr">
        <is>
          <t>OWASP ASVS 5.3</t>
        </is>
      </c>
      <c r="H9" s="12" t="inlineStr">
        <is>
          <t>SDD 9.5</t>
        </is>
      </c>
      <c r="I9" s="13" t="inlineStr">
        <is>
          <t>Code review - grep dangerouslySetInnerHTML</t>
        </is>
      </c>
      <c r="J9" s="12" t="inlineStr">
        <is>
          <t>-</t>
        </is>
      </c>
      <c r="K9" s="12" t="inlineStr">
        <is>
          <t>Verified</t>
        </is>
      </c>
    </row>
    <row r="10">
      <c r="A10" s="8" t="inlineStr">
        <is>
          <t>SR-009</t>
        </is>
      </c>
      <c r="B10" s="8" t="inlineStr">
        <is>
          <t>Audit</t>
        </is>
      </c>
      <c r="C10" s="4" t="inlineStr">
        <is>
          <t>Every state change shall append an entry to a hash-chained, append-only audit log recording actor, role, action, entity and payload.</t>
        </is>
      </c>
      <c r="D10" s="8" t="inlineStr">
        <is>
          <t>System</t>
        </is>
      </c>
      <c r="E10" s="8" t="inlineStr">
        <is>
          <t>M</t>
        </is>
      </c>
      <c r="F10" s="8" t="inlineStr">
        <is>
          <t>SEC</t>
        </is>
      </c>
      <c r="G10" s="4" t="inlineStr">
        <is>
          <t>CAG audit readiness</t>
        </is>
      </c>
      <c r="H10" s="8" t="inlineStr">
        <is>
          <t>SDD 9.6</t>
        </is>
      </c>
      <c r="I10" s="4" t="inlineStr">
        <is>
          <t>workflow.test.mjs / chain</t>
        </is>
      </c>
      <c r="J10" s="8" t="inlineStr">
        <is>
          <t>AUDIT</t>
        </is>
      </c>
      <c r="K10" s="8" t="inlineStr">
        <is>
          <t>Verified</t>
        </is>
      </c>
    </row>
    <row r="11">
      <c r="A11" s="12" t="inlineStr">
        <is>
          <t>SR-010</t>
        </is>
      </c>
      <c r="B11" s="12" t="inlineStr">
        <is>
          <t>Audit</t>
        </is>
      </c>
      <c r="C11" s="13" t="inlineStr">
        <is>
          <t>The platform shall provide an integrity check that walks the whole chain and reports the first entry where verification fails.</t>
        </is>
      </c>
      <c r="D11" s="12" t="inlineStr">
        <is>
          <t>Admin</t>
        </is>
      </c>
      <c r="E11" s="12" t="inlineStr">
        <is>
          <t>M</t>
        </is>
      </c>
      <c r="F11" s="12" t="inlineStr">
        <is>
          <t>SEC</t>
        </is>
      </c>
      <c r="G11" s="13" t="inlineStr">
        <is>
          <t>CAG audit readiness</t>
        </is>
      </c>
      <c r="H11" s="12" t="inlineStr">
        <is>
          <t>SDD 9.6</t>
        </is>
      </c>
      <c r="I11" s="13" t="inlineStr">
        <is>
          <t>workflow.test.mjs / chain</t>
        </is>
      </c>
      <c r="J11" s="12" t="inlineStr">
        <is>
          <t>AUDIT</t>
        </is>
      </c>
      <c r="K11" s="12" t="inlineStr">
        <is>
          <t>Verified</t>
        </is>
      </c>
    </row>
    <row r="12">
      <c r="A12" s="8" t="inlineStr">
        <is>
          <t>SR-011</t>
        </is>
      </c>
      <c r="B12" s="8" t="inlineStr">
        <is>
          <t>Audit</t>
        </is>
      </c>
      <c r="C12" s="4" t="inlineStr">
        <is>
          <t>Audit entries shall be retained for at least one hundred and eighty days.</t>
        </is>
      </c>
      <c r="D12" s="8" t="inlineStr">
        <is>
          <t>System</t>
        </is>
      </c>
      <c r="E12" s="8" t="inlineStr">
        <is>
          <t>M</t>
        </is>
      </c>
      <c r="F12" s="8" t="inlineStr">
        <is>
          <t>CMP</t>
        </is>
      </c>
      <c r="G12" s="4" t="inlineStr">
        <is>
          <t>CERT-In Directions 2022</t>
        </is>
      </c>
      <c r="H12" s="8" t="inlineStr">
        <is>
          <t>SDD 9.6</t>
        </is>
      </c>
      <c r="I12" s="4" t="inlineStr">
        <is>
          <t>Config - AUDIT_RETENTION_DAYS</t>
        </is>
      </c>
      <c r="J12" s="8" t="inlineStr">
        <is>
          <t>CERTIN-LOG</t>
        </is>
      </c>
      <c r="K12" s="8" t="inlineStr">
        <is>
          <t>Verified</t>
        </is>
      </c>
    </row>
    <row r="13">
      <c r="A13" s="12" t="inlineStr">
        <is>
          <t>SR-012</t>
        </is>
      </c>
      <c r="B13" s="12" t="inlineStr">
        <is>
          <t>Privacy</t>
        </is>
      </c>
      <c r="C13" s="13" t="inlineStr">
        <is>
          <t>Financial and identity fields of a startup shall be withheld from unauthenticated callers and from other startups.</t>
        </is>
      </c>
      <c r="D13" s="12" t="inlineStr">
        <is>
          <t>System</t>
        </is>
      </c>
      <c r="E13" s="12" t="inlineStr">
        <is>
          <t>M</t>
        </is>
      </c>
      <c r="F13" s="12" t="inlineStr">
        <is>
          <t>SEC</t>
        </is>
      </c>
      <c r="G13" s="13" t="inlineStr">
        <is>
          <t>DPDP Act 2023 s.8</t>
        </is>
      </c>
      <c r="H13" s="12" t="inlineStr">
        <is>
          <t>SDD 9.3</t>
        </is>
      </c>
      <c r="I13" s="13" t="inlineStr">
        <is>
          <t>Code review - registry.js</t>
        </is>
      </c>
      <c r="J13" s="12" t="inlineStr">
        <is>
          <t>DPDP-MINIMISE</t>
        </is>
      </c>
      <c r="K13" s="12" t="inlineStr">
        <is>
          <t>Verified</t>
        </is>
      </c>
    </row>
    <row r="14">
      <c r="A14" s="8" t="inlineStr">
        <is>
          <t>SR-013</t>
        </is>
      </c>
      <c r="B14" s="8" t="inlineStr">
        <is>
          <t>Privacy</t>
        </is>
      </c>
      <c r="C14" s="4" t="inlineStr">
        <is>
          <t>Personal data shall be collected only for the declared purpose of public procurement participation.</t>
        </is>
      </c>
      <c r="D14" s="8" t="inlineStr">
        <is>
          <t>System</t>
        </is>
      </c>
      <c r="E14" s="8" t="inlineStr">
        <is>
          <t>M</t>
        </is>
      </c>
      <c r="F14" s="8" t="inlineStr">
        <is>
          <t>CMP</t>
        </is>
      </c>
      <c r="G14" s="4" t="inlineStr">
        <is>
          <t>DPDP Act 2023 s.4</t>
        </is>
      </c>
      <c r="H14" s="8" t="inlineStr">
        <is>
          <t>SDD 9.4</t>
        </is>
      </c>
      <c r="I14" s="4" t="inlineStr">
        <is>
          <t>AVSAR-DPD-009</t>
        </is>
      </c>
      <c r="J14" s="8" t="inlineStr">
        <is>
          <t>DPDP-PURPOSE</t>
        </is>
      </c>
      <c r="K14" s="8" t="inlineStr">
        <is>
          <t>Verified</t>
        </is>
      </c>
    </row>
    <row r="15">
      <c r="A15" s="12" t="inlineStr">
        <is>
          <t>SR-014</t>
        </is>
      </c>
      <c r="B15" s="12" t="inlineStr">
        <is>
          <t>Secrets</t>
        </is>
      </c>
      <c r="C15" s="13" t="inlineStr">
        <is>
          <t>No credential, token or signing secret shall be committed to the repository; all shall be read from the environment.</t>
        </is>
      </c>
      <c r="D15" s="12" t="inlineStr">
        <is>
          <t>System</t>
        </is>
      </c>
      <c r="E15" s="12" t="inlineStr">
        <is>
          <t>M</t>
        </is>
      </c>
      <c r="F15" s="12" t="inlineStr">
        <is>
          <t>SEC</t>
        </is>
      </c>
      <c r="G15" s="13" t="inlineStr">
        <is>
          <t>OWASP ASVS 6.4</t>
        </is>
      </c>
      <c r="H15" s="12" t="inlineStr">
        <is>
          <t>SDD 9.1</t>
        </is>
      </c>
      <c r="I15" s="13" t="inlineStr">
        <is>
          <t>Code review - .gitignore, config.js</t>
        </is>
      </c>
      <c r="J15" s="12" t="inlineStr">
        <is>
          <t>-</t>
        </is>
      </c>
      <c r="K15" s="12" t="inlineStr">
        <is>
          <t>Verified</t>
        </is>
      </c>
    </row>
    <row r="16">
      <c r="A16" s="8" t="inlineStr">
        <is>
          <t>SR-015</t>
        </is>
      </c>
      <c r="B16" s="8" t="inlineStr">
        <is>
          <t>Errors</t>
        </is>
      </c>
      <c r="C16" s="4" t="inlineStr">
        <is>
          <t>A server error shall not disclose a stack trace or internal detail to the client outside development.</t>
        </is>
      </c>
      <c r="D16" s="8" t="inlineStr">
        <is>
          <t>System</t>
        </is>
      </c>
      <c r="E16" s="8" t="inlineStr">
        <is>
          <t>M</t>
        </is>
      </c>
      <c r="F16" s="8" t="inlineStr">
        <is>
          <t>SEC</t>
        </is>
      </c>
      <c r="G16" s="4" t="inlineStr">
        <is>
          <t>OWASP ASVS 7.4</t>
        </is>
      </c>
      <c r="H16" s="8" t="inlineStr">
        <is>
          <t>SDD 9.5</t>
        </is>
      </c>
      <c r="I16" s="4" t="inlineStr">
        <is>
          <t>Code review - error.js</t>
        </is>
      </c>
      <c r="J16" s="8" t="inlineStr">
        <is>
          <t>-</t>
        </is>
      </c>
      <c r="K16" s="8" t="inlineStr">
        <is>
          <t>Verified</t>
        </is>
      </c>
    </row>
    <row r="17">
      <c r="A17" s="12" t="inlineStr">
        <is>
          <t>SR-016</t>
        </is>
      </c>
      <c r="B17" s="12" t="inlineStr">
        <is>
          <t>Transport</t>
        </is>
      </c>
      <c r="C17" s="13" t="inlineStr">
        <is>
          <t>All production traffic shall be served over TLS 1.2 or above.</t>
        </is>
      </c>
      <c r="D17" s="12" t="inlineStr">
        <is>
          <t>System</t>
        </is>
      </c>
      <c r="E17" s="12" t="inlineStr">
        <is>
          <t>M</t>
        </is>
      </c>
      <c r="F17" s="12" t="inlineStr">
        <is>
          <t>SEC</t>
        </is>
      </c>
      <c r="G17" s="13" t="inlineStr">
        <is>
          <t>CERT-In Directions 2022</t>
        </is>
      </c>
      <c r="H17" s="12" t="inlineStr">
        <is>
          <t>SDD 11.2</t>
        </is>
      </c>
      <c r="I17" s="13" t="inlineStr">
        <is>
          <t>Deployment control - not in scope of demo</t>
        </is>
      </c>
      <c r="J17" s="12" t="inlineStr">
        <is>
          <t>CERTIN-TLS</t>
        </is>
      </c>
      <c r="K17" s="12" t="inlineStr">
        <is>
          <t>Approved</t>
        </is>
      </c>
    </row>
    <row r="18">
      <c r="A18" s="8" t="inlineStr">
        <is>
          <t>SR-017</t>
        </is>
      </c>
      <c r="B18" s="8" t="inlineStr">
        <is>
          <t>Testing</t>
        </is>
      </c>
      <c r="C18" s="4" t="inlineStr">
        <is>
          <t>A vulnerability assessment and penetration test by a CERT-In empanelled auditor shall precede any live deployment.</t>
        </is>
      </c>
      <c r="D18" s="8" t="inlineStr">
        <is>
          <t>System</t>
        </is>
      </c>
      <c r="E18" s="8" t="inlineStr">
        <is>
          <t>M</t>
        </is>
      </c>
      <c r="F18" s="8" t="inlineStr">
        <is>
          <t>CMP</t>
        </is>
      </c>
      <c r="G18" s="4" t="inlineStr">
        <is>
          <t>CERT-In Directions 2022</t>
        </is>
      </c>
      <c r="H18" s="8" t="inlineStr">
        <is>
          <t>SDD 11.2</t>
        </is>
      </c>
      <c r="I18" s="4" t="inlineStr">
        <is>
          <t>Pre-deployment gate</t>
        </is>
      </c>
      <c r="J18" s="8" t="inlineStr">
        <is>
          <t>CERTIN-VAPT</t>
        </is>
      </c>
      <c r="K18" s="8" t="inlineStr">
        <is>
          <t>Approved</t>
        </is>
      </c>
    </row>
  </sheetData>
  <autoFilter ref="A1:K18"/>
  <dataValidations count="1">
    <dataValidation sqref="K2:K18" showDropDown="0" showInputMessage="0" showErrorMessage="0" allowBlank="1" type="list">
      <formula1>"Proposed,Approved,In Design,Developed,Tested,Verified"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74" customWidth="1" min="3" max="3"/>
    <col width="20" customWidth="1" min="4" max="4"/>
    <col width="6" customWidth="1" min="5" max="5"/>
    <col width="7" customWidth="1" min="6" max="6"/>
    <col width="26" customWidth="1" min="7" max="7"/>
    <col width="16" customWidth="1" min="8" max="8"/>
    <col width="30" customWidth="1" min="9" max="9"/>
    <col width="20" customWidth="1" min="10" max="10"/>
    <col width="12" customWidth="1" min="11" max="11"/>
  </cols>
  <sheetData>
    <row r="1" ht="30" customHeight="1">
      <c r="A1" s="7" t="inlineStr">
        <is>
          <t>Req ID</t>
        </is>
      </c>
      <c r="B1" s="7" t="inlineStr">
        <is>
          <t>Module</t>
        </is>
      </c>
      <c r="C1" s="7" t="inlineStr">
        <is>
          <t>Description</t>
        </is>
      </c>
      <c r="D1" s="7" t="inlineStr">
        <is>
          <t>User Role</t>
        </is>
      </c>
      <c r="E1" s="7" t="inlineStr">
        <is>
          <t>Pri</t>
        </is>
      </c>
      <c r="F1" s="7" t="inlineStr">
        <is>
          <t>Type</t>
        </is>
      </c>
      <c r="G1" s="7" t="inlineStr">
        <is>
          <t>Source</t>
        </is>
      </c>
      <c r="H1" s="7" t="inlineStr">
        <is>
          <t>Design Ref</t>
        </is>
      </c>
      <c r="I1" s="7" t="inlineStr">
        <is>
          <t>Test Ref</t>
        </is>
      </c>
      <c r="J1" s="7" t="inlineStr">
        <is>
          <t>Compliance Tag</t>
        </is>
      </c>
      <c r="K1" s="7" t="inlineStr">
        <is>
          <t>Status</t>
        </is>
      </c>
    </row>
    <row r="2">
      <c r="A2" s="8" t="inlineStr">
        <is>
          <t>NF-001</t>
        </is>
      </c>
      <c r="B2" s="8" t="inlineStr">
        <is>
          <t>Performance</t>
        </is>
      </c>
      <c r="C2" s="4" t="inlineStr">
        <is>
          <t>A list view shall return within 300 ms at the demonstration data volume.</t>
        </is>
      </c>
      <c r="D2" s="8" t="inlineStr">
        <is>
          <t>All</t>
        </is>
      </c>
      <c r="E2" s="8" t="inlineStr">
        <is>
          <t>S</t>
        </is>
      </c>
      <c r="F2" s="8" t="inlineStr">
        <is>
          <t>NFR</t>
        </is>
      </c>
      <c r="G2" s="4" t="inlineStr">
        <is>
          <t>Usability</t>
        </is>
      </c>
      <c r="H2" s="8" t="inlineStr">
        <is>
          <t>SDD 10.1</t>
        </is>
      </c>
      <c r="I2" s="4" t="inlineStr">
        <is>
          <t>Manual - network panel</t>
        </is>
      </c>
      <c r="J2" s="8" t="inlineStr">
        <is>
          <t>-</t>
        </is>
      </c>
      <c r="K2" s="8" t="inlineStr">
        <is>
          <t>Verified</t>
        </is>
      </c>
    </row>
    <row r="3">
      <c r="A3" s="12" t="inlineStr">
        <is>
          <t>NF-002</t>
        </is>
      </c>
      <c r="B3" s="12" t="inlineStr">
        <is>
          <t>Performance</t>
        </is>
      </c>
      <c r="C3" s="13" t="inlineStr">
        <is>
          <t>The production client bundle shall be split so that charting code does not block first paint.</t>
        </is>
      </c>
      <c r="D3" s="12" t="inlineStr">
        <is>
          <t>All</t>
        </is>
      </c>
      <c r="E3" s="12" t="inlineStr">
        <is>
          <t>S</t>
        </is>
      </c>
      <c r="F3" s="12" t="inlineStr">
        <is>
          <t>NFR</t>
        </is>
      </c>
      <c r="G3" s="13" t="inlineStr">
        <is>
          <t>Usability</t>
        </is>
      </c>
      <c r="H3" s="12" t="inlineStr">
        <is>
          <t>SDD 10.1</t>
        </is>
      </c>
      <c r="I3" s="13" t="inlineStr">
        <is>
          <t>Build output - three chunks</t>
        </is>
      </c>
      <c r="J3" s="12" t="inlineStr">
        <is>
          <t>-</t>
        </is>
      </c>
      <c r="K3" s="12" t="inlineStr">
        <is>
          <t>Verified</t>
        </is>
      </c>
    </row>
    <row r="4">
      <c r="A4" s="8" t="inlineStr">
        <is>
          <t>NF-003</t>
        </is>
      </c>
      <c r="B4" s="8" t="inlineStr">
        <is>
          <t>Portability</t>
        </is>
      </c>
      <c r="C4" s="4" t="inlineStr">
        <is>
          <t>The platform shall install and run with no natively compiled dependency.</t>
        </is>
      </c>
      <c r="D4" s="8" t="inlineStr">
        <is>
          <t>All</t>
        </is>
      </c>
      <c r="E4" s="8" t="inlineStr">
        <is>
          <t>M</t>
        </is>
      </c>
      <c r="F4" s="8" t="inlineStr">
        <is>
          <t>NFR</t>
        </is>
      </c>
      <c r="G4" s="4" t="inlineStr">
        <is>
          <t>Deployability</t>
        </is>
      </c>
      <c r="H4" s="8" t="inlineStr">
        <is>
          <t>SDD 10.2</t>
        </is>
      </c>
      <c r="I4" s="4" t="inlineStr">
        <is>
          <t>npm install on a clean machine</t>
        </is>
      </c>
      <c r="J4" s="8" t="inlineStr">
        <is>
          <t>-</t>
        </is>
      </c>
      <c r="K4" s="8" t="inlineStr">
        <is>
          <t>Verified</t>
        </is>
      </c>
    </row>
    <row r="5">
      <c r="A5" s="12" t="inlineStr">
        <is>
          <t>NF-004</t>
        </is>
      </c>
      <c r="B5" s="12" t="inlineStr">
        <is>
          <t>Portability</t>
        </is>
      </c>
      <c r="C5" s="13" t="inlineStr">
        <is>
          <t>The database schema shall be portable SQL so that a move to PostgreSQL requires no query rewriting.</t>
        </is>
      </c>
      <c r="D5" s="12" t="inlineStr">
        <is>
          <t>All</t>
        </is>
      </c>
      <c r="E5" s="12" t="inlineStr">
        <is>
          <t>M</t>
        </is>
      </c>
      <c r="F5" s="12" t="inlineStr">
        <is>
          <t>NFR</t>
        </is>
      </c>
      <c r="G5" s="13" t="inlineStr">
        <is>
          <t>Deployability</t>
        </is>
      </c>
      <c r="H5" s="12" t="inlineStr">
        <is>
          <t>SDD 10.2</t>
        </is>
      </c>
      <c r="I5" s="13" t="inlineStr">
        <is>
          <t>Code review - schema.sql</t>
        </is>
      </c>
      <c r="J5" s="12" t="inlineStr">
        <is>
          <t>-</t>
        </is>
      </c>
      <c r="K5" s="12" t="inlineStr">
        <is>
          <t>Verified</t>
        </is>
      </c>
    </row>
    <row r="6">
      <c r="A6" s="8" t="inlineStr">
        <is>
          <t>NF-005</t>
        </is>
      </c>
      <c r="B6" s="8" t="inlineStr">
        <is>
          <t>Accessibility</t>
        </is>
      </c>
      <c r="C6" s="4" t="inlineStr">
        <is>
          <t>The interface shall provide semantic landmarks, a skip link and a visible focus indicator that is never suppressed.</t>
        </is>
      </c>
      <c r="D6" s="8" t="inlineStr">
        <is>
          <t>All</t>
        </is>
      </c>
      <c r="E6" s="8" t="inlineStr">
        <is>
          <t>M</t>
        </is>
      </c>
      <c r="F6" s="8" t="inlineStr">
        <is>
          <t>NFR</t>
        </is>
      </c>
      <c r="G6" s="4" t="inlineStr">
        <is>
          <t>GIGW 3.0 / WCAG 2.1 AA</t>
        </is>
      </c>
      <c r="H6" s="8" t="inlineStr">
        <is>
          <t>SDD 10.3</t>
        </is>
      </c>
      <c r="I6" s="4" t="inlineStr">
        <is>
          <t>Manual - keyboard traversal</t>
        </is>
      </c>
      <c r="J6" s="8" t="inlineStr">
        <is>
          <t>GIGW</t>
        </is>
      </c>
      <c r="K6" s="8" t="inlineStr">
        <is>
          <t>Verified</t>
        </is>
      </c>
    </row>
    <row r="7">
      <c r="A7" s="12" t="inlineStr">
        <is>
          <t>NF-006</t>
        </is>
      </c>
      <c r="B7" s="12" t="inlineStr">
        <is>
          <t>Accessibility</t>
        </is>
      </c>
      <c r="C7" s="13" t="inlineStr">
        <is>
          <t>No information shall be conveyed by colour alone; every status indicator shall carry a text label.</t>
        </is>
      </c>
      <c r="D7" s="12" t="inlineStr">
        <is>
          <t>All</t>
        </is>
      </c>
      <c r="E7" s="12" t="inlineStr">
        <is>
          <t>M</t>
        </is>
      </c>
      <c r="F7" s="12" t="inlineStr">
        <is>
          <t>NFR</t>
        </is>
      </c>
      <c r="G7" s="13" t="inlineStr">
        <is>
          <t>WCAG 2.1 AA 1.4.1</t>
        </is>
      </c>
      <c r="H7" s="12" t="inlineStr">
        <is>
          <t>SDD 10.3</t>
        </is>
      </c>
      <c r="I7" s="13" t="inlineStr">
        <is>
          <t>Code review - status.js</t>
        </is>
      </c>
      <c r="J7" s="12" t="inlineStr">
        <is>
          <t>GIGW</t>
        </is>
      </c>
      <c r="K7" s="12" t="inlineStr">
        <is>
          <t>Verified</t>
        </is>
      </c>
    </row>
    <row r="8">
      <c r="A8" s="8" t="inlineStr">
        <is>
          <t>NF-007</t>
        </is>
      </c>
      <c r="B8" s="8" t="inlineStr">
        <is>
          <t>Accessibility</t>
        </is>
      </c>
      <c r="C8" s="4" t="inlineStr">
        <is>
          <t>The interface shall honour a reduced-motion preference.</t>
        </is>
      </c>
      <c r="D8" s="8" t="inlineStr">
        <is>
          <t>All</t>
        </is>
      </c>
      <c r="E8" s="8" t="inlineStr">
        <is>
          <t>S</t>
        </is>
      </c>
      <c r="F8" s="8" t="inlineStr">
        <is>
          <t>NFR</t>
        </is>
      </c>
      <c r="G8" s="4" t="inlineStr">
        <is>
          <t>WCAG 2.1 AA 2.3.3</t>
        </is>
      </c>
      <c r="H8" s="8" t="inlineStr">
        <is>
          <t>SDD 10.3</t>
        </is>
      </c>
      <c r="I8" s="4" t="inlineStr">
        <is>
          <t>Code review - base.css</t>
        </is>
      </c>
      <c r="J8" s="8" t="inlineStr">
        <is>
          <t>GIGW</t>
        </is>
      </c>
      <c r="K8" s="8" t="inlineStr">
        <is>
          <t>Verified</t>
        </is>
      </c>
    </row>
    <row r="9">
      <c r="A9" s="12" t="inlineStr">
        <is>
          <t>NF-008</t>
        </is>
      </c>
      <c r="B9" s="12" t="inlineStr">
        <is>
          <t>Accessibility</t>
        </is>
      </c>
      <c r="C9" s="13" t="inlineStr">
        <is>
          <t>A third-party GIGW 3.0 conformance audit shall precede any live deployment.</t>
        </is>
      </c>
      <c r="D9" s="12" t="inlineStr">
        <is>
          <t>All</t>
        </is>
      </c>
      <c r="E9" s="12" t="inlineStr">
        <is>
          <t>S</t>
        </is>
      </c>
      <c r="F9" s="12" t="inlineStr">
        <is>
          <t>CMP</t>
        </is>
      </c>
      <c r="G9" s="13" t="inlineStr">
        <is>
          <t>GIGW 3.0</t>
        </is>
      </c>
      <c r="H9" s="12" t="inlineStr">
        <is>
          <t>SDD 11.2</t>
        </is>
      </c>
      <c r="I9" s="13" t="inlineStr">
        <is>
          <t>Pre-deployment gate</t>
        </is>
      </c>
      <c r="J9" s="12" t="inlineStr">
        <is>
          <t>GIGW</t>
        </is>
      </c>
      <c r="K9" s="12" t="inlineStr">
        <is>
          <t>Approved</t>
        </is>
      </c>
    </row>
    <row r="10">
      <c r="A10" s="8" t="inlineStr">
        <is>
          <t>NF-009</t>
        </is>
      </c>
      <c r="B10" s="8" t="inlineStr">
        <is>
          <t>Maintainability</t>
        </is>
      </c>
      <c r="C10" s="4" t="inlineStr">
        <is>
          <t>Every legal state transition shall be declared in one module rather than distributed through route handlers.</t>
        </is>
      </c>
      <c r="D10" s="8" t="inlineStr">
        <is>
          <t>All</t>
        </is>
      </c>
      <c r="E10" s="8" t="inlineStr">
        <is>
          <t>M</t>
        </is>
      </c>
      <c r="F10" s="8" t="inlineStr">
        <is>
          <t>NFR</t>
        </is>
      </c>
      <c r="G10" s="4" t="inlineStr">
        <is>
          <t>Reviewability</t>
        </is>
      </c>
      <c r="H10" s="8" t="inlineStr">
        <is>
          <t>SDD 8.13</t>
        </is>
      </c>
      <c r="I10" s="4" t="inlineStr">
        <is>
          <t>Code review - workflow.js</t>
        </is>
      </c>
      <c r="J10" s="8" t="inlineStr">
        <is>
          <t>-</t>
        </is>
      </c>
      <c r="K10" s="8" t="inlineStr">
        <is>
          <t>Verified</t>
        </is>
      </c>
    </row>
    <row r="11">
      <c r="A11" s="12" t="inlineStr">
        <is>
          <t>NF-010</t>
        </is>
      </c>
      <c r="B11" s="12" t="inlineStr">
        <is>
          <t>Maintainability</t>
        </is>
      </c>
      <c r="C11" s="13" t="inlineStr">
        <is>
          <t>Every statutory limit shall be declared once, in one module, beside the rule it derives from.</t>
        </is>
      </c>
      <c r="D11" s="12" t="inlineStr">
        <is>
          <t>All</t>
        </is>
      </c>
      <c r="E11" s="12" t="inlineStr">
        <is>
          <t>M</t>
        </is>
      </c>
      <c r="F11" s="12" t="inlineStr">
        <is>
          <t>NFR</t>
        </is>
      </c>
      <c r="G11" s="13" t="inlineStr">
        <is>
          <t>Reviewability</t>
        </is>
      </c>
      <c r="H11" s="12" t="inlineStr">
        <is>
          <t>SDD 8.13</t>
        </is>
      </c>
      <c r="I11" s="13" t="inlineStr">
        <is>
          <t>Code review - config.js POLICY</t>
        </is>
      </c>
      <c r="J11" s="12" t="inlineStr">
        <is>
          <t>-</t>
        </is>
      </c>
      <c r="K11" s="12" t="inlineStr">
        <is>
          <t>Verified</t>
        </is>
      </c>
    </row>
    <row r="12">
      <c r="A12" s="8" t="inlineStr">
        <is>
          <t>NF-011</t>
        </is>
      </c>
      <c r="B12" s="8" t="inlineStr">
        <is>
          <t>Maintainability</t>
        </is>
      </c>
      <c r="C12" s="4" t="inlineStr">
        <is>
          <t>The visual layer shall derive from a single token file so the platform re-themes without component changes.</t>
        </is>
      </c>
      <c r="D12" s="8" t="inlineStr">
        <is>
          <t>All</t>
        </is>
      </c>
      <c r="E12" s="8" t="inlineStr">
        <is>
          <t>S</t>
        </is>
      </c>
      <c r="F12" s="8" t="inlineStr">
        <is>
          <t>NFR</t>
        </is>
      </c>
      <c r="G12" s="4" t="inlineStr">
        <is>
          <t>Reusability</t>
        </is>
      </c>
      <c r="H12" s="8" t="inlineStr">
        <is>
          <t>SDD 10.4</t>
        </is>
      </c>
      <c r="I12" s="4" t="inlineStr">
        <is>
          <t>Code review - tokens.css</t>
        </is>
      </c>
      <c r="J12" s="8" t="inlineStr">
        <is>
          <t>-</t>
        </is>
      </c>
      <c r="K12" s="8" t="inlineStr">
        <is>
          <t>Verified</t>
        </is>
      </c>
    </row>
    <row r="13">
      <c r="A13" s="12" t="inlineStr">
        <is>
          <t>NF-012</t>
        </is>
      </c>
      <c r="B13" s="12" t="inlineStr">
        <is>
          <t>Reliability</t>
        </is>
      </c>
      <c r="C13" s="13" t="inlineStr">
        <is>
          <t>A render failure in any page shall present a readable message and a route back, never a blank screen.</t>
        </is>
      </c>
      <c r="D13" s="12" t="inlineStr">
        <is>
          <t>All</t>
        </is>
      </c>
      <c r="E13" s="12" t="inlineStr">
        <is>
          <t>S</t>
        </is>
      </c>
      <c r="F13" s="12" t="inlineStr">
        <is>
          <t>NFR</t>
        </is>
      </c>
      <c r="G13" s="13" t="inlineStr">
        <is>
          <t>Usability</t>
        </is>
      </c>
      <c r="H13" s="12" t="inlineStr">
        <is>
          <t>SDD 10.5</t>
        </is>
      </c>
      <c r="I13" s="13" t="inlineStr">
        <is>
          <t>Code review - ErrorBoundary.jsx</t>
        </is>
      </c>
      <c r="J13" s="12" t="inlineStr">
        <is>
          <t>-</t>
        </is>
      </c>
      <c r="K13" s="12" t="inlineStr">
        <is>
          <t>Verified</t>
        </is>
      </c>
    </row>
    <row r="14">
      <c r="A14" s="8" t="inlineStr">
        <is>
          <t>NF-013</t>
        </is>
      </c>
      <c r="B14" s="8" t="inlineStr">
        <is>
          <t>Reliability</t>
        </is>
      </c>
      <c r="C14" s="4" t="inlineStr">
        <is>
          <t>Multi-row writes shall be transactional so that a partial failure leaves no orphaned record.</t>
        </is>
      </c>
      <c r="D14" s="8" t="inlineStr">
        <is>
          <t>System</t>
        </is>
      </c>
      <c r="E14" s="8" t="inlineStr">
        <is>
          <t>M</t>
        </is>
      </c>
      <c r="F14" s="8" t="inlineStr">
        <is>
          <t>NFR</t>
        </is>
      </c>
      <c r="G14" s="4" t="inlineStr">
        <is>
          <t>Data integrity</t>
        </is>
      </c>
      <c r="H14" s="8" t="inlineStr">
        <is>
          <t>SDD 7.4</t>
        </is>
      </c>
      <c r="I14" s="4" t="inlineStr">
        <is>
          <t>Code review - tx()</t>
        </is>
      </c>
      <c r="J14" s="8" t="inlineStr">
        <is>
          <t>-</t>
        </is>
      </c>
      <c r="K14" s="8" t="inlineStr">
        <is>
          <t>Verified</t>
        </is>
      </c>
    </row>
    <row r="15">
      <c r="A15" s="12" t="inlineStr">
        <is>
          <t>NF-014</t>
        </is>
      </c>
      <c r="B15" s="12" t="inlineStr">
        <is>
          <t>Testability</t>
        </is>
      </c>
      <c r="C15" s="13" t="inlineStr">
        <is>
          <t>An end-to-end suite shall exercise every stage gate against a live API on a throwaway database.</t>
        </is>
      </c>
      <c r="D15" s="12" t="inlineStr">
        <is>
          <t>All</t>
        </is>
      </c>
      <c r="E15" s="12" t="inlineStr">
        <is>
          <t>M</t>
        </is>
      </c>
      <c r="F15" s="12" t="inlineStr">
        <is>
          <t>NFR</t>
        </is>
      </c>
      <c r="G15" s="13" t="inlineStr">
        <is>
          <t>Quality gate</t>
        </is>
      </c>
      <c r="H15" s="12" t="inlineStr">
        <is>
          <t>SDD 12.1</t>
        </is>
      </c>
      <c r="I15" s="13" t="inlineStr">
        <is>
          <t>npm test - 32 assertions</t>
        </is>
      </c>
      <c r="J15" s="12" t="inlineStr">
        <is>
          <t>-</t>
        </is>
      </c>
      <c r="K15" s="12" t="inlineStr">
        <is>
          <t>Verified</t>
        </is>
      </c>
    </row>
    <row r="16">
      <c r="A16" s="8" t="inlineStr">
        <is>
          <t>NF-015</t>
        </is>
      </c>
      <c r="B16" s="8" t="inlineStr">
        <is>
          <t>Observability</t>
        </is>
      </c>
      <c r="C16" s="4" t="inlineStr">
        <is>
          <t>The API shall expose a health endpoint reporting service version, environment and database seeding state.</t>
        </is>
      </c>
      <c r="D16" s="8" t="inlineStr">
        <is>
          <t>Admin</t>
        </is>
      </c>
      <c r="E16" s="8" t="inlineStr">
        <is>
          <t>S</t>
        </is>
      </c>
      <c r="F16" s="8" t="inlineStr">
        <is>
          <t>NFR</t>
        </is>
      </c>
      <c r="G16" s="4" t="inlineStr">
        <is>
          <t>Operability</t>
        </is>
      </c>
      <c r="H16" s="8" t="inlineStr">
        <is>
          <t>SDD 10.6</t>
        </is>
      </c>
      <c r="I16" s="4" t="inlineStr">
        <is>
          <t>GET /api/health</t>
        </is>
      </c>
      <c r="J16" s="8" t="inlineStr">
        <is>
          <t>-</t>
        </is>
      </c>
      <c r="K16" s="8" t="inlineStr">
        <is>
          <t>Verified</t>
        </is>
      </c>
    </row>
    <row r="17">
      <c r="A17" s="12" t="inlineStr">
        <is>
          <t>NF-016</t>
        </is>
      </c>
      <c r="B17" s="12" t="inlineStr">
        <is>
          <t>Localisation</t>
        </is>
      </c>
      <c r="C17" s="13" t="inlineStr">
        <is>
          <t>Content shall be separable from components so a Hindi interface can be added without structural change.</t>
        </is>
      </c>
      <c r="D17" s="12" t="inlineStr">
        <is>
          <t>All</t>
        </is>
      </c>
      <c r="E17" s="12" t="inlineStr">
        <is>
          <t>C</t>
        </is>
      </c>
      <c r="F17" s="12" t="inlineStr">
        <is>
          <t>NFR</t>
        </is>
      </c>
      <c r="G17" s="13" t="inlineStr">
        <is>
          <t>GIGW 3.0</t>
        </is>
      </c>
      <c r="H17" s="12" t="inlineStr">
        <is>
          <t>SDD 10.7</t>
        </is>
      </c>
      <c r="I17" s="13" t="inlineStr">
        <is>
          <t>Deferred to phase 2</t>
        </is>
      </c>
      <c r="J17" s="12" t="inlineStr">
        <is>
          <t>GIGW</t>
        </is>
      </c>
      <c r="K17" s="12" t="inlineStr">
        <is>
          <t>Approved</t>
        </is>
      </c>
    </row>
    <row r="18">
      <c r="A18" s="8" t="inlineStr">
        <is>
          <t>NF-017</t>
        </is>
      </c>
      <c r="B18" s="8" t="inlineStr">
        <is>
          <t>Interoperability</t>
        </is>
      </c>
      <c r="C18" s="4" t="inlineStr">
        <is>
          <t>Integration points for GeM, PFMS and CPPP shall be isolated behind named fields so a live adapter replaces a stub.</t>
        </is>
      </c>
      <c r="D18" s="8" t="inlineStr">
        <is>
          <t>System</t>
        </is>
      </c>
      <c r="E18" s="8" t="inlineStr">
        <is>
          <t>S</t>
        </is>
      </c>
      <c r="F18" s="8" t="inlineStr">
        <is>
          <t>INT</t>
        </is>
      </c>
      <c r="G18" s="4" t="inlineStr">
        <is>
          <t>Charter 6.2</t>
        </is>
      </c>
      <c r="H18" s="8" t="inlineStr">
        <is>
          <t>SDD 11.1</t>
        </is>
      </c>
      <c r="I18" s="4" t="inlineStr">
        <is>
          <t>Code review - procurements schema</t>
        </is>
      </c>
      <c r="J18" s="8" t="inlineStr">
        <is>
          <t>-</t>
        </is>
      </c>
      <c r="K18" s="8" t="inlineStr">
        <is>
          <t>Developed</t>
        </is>
      </c>
    </row>
  </sheetData>
  <autoFilter ref="A1:K18"/>
  <dataValidations count="1">
    <dataValidation sqref="K2:K18" showDropDown="0" showInputMessage="0" showErrorMessage="0" allowBlank="1" type="list">
      <formula1>"Proposed,Approved,In Design,Developed,Tested,Verified"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</cols>
  <sheetData>
    <row r="1" ht="30" customHeight="1">
      <c r="A1" s="7" t="inlineStr">
        <is>
          <t>Role</t>
        </is>
      </c>
      <c r="B1" s="7" t="inlineStr">
        <is>
          <t>Who they are</t>
        </is>
      </c>
      <c r="C1" s="7" t="inlineStr">
        <is>
          <t>Scope of visibility</t>
        </is>
      </c>
    </row>
    <row r="2">
      <c r="A2" s="8" t="inlineStr">
        <is>
          <t>Startup</t>
        </is>
      </c>
      <c r="B2" s="4" t="inlineStr">
        <is>
          <t>Founder or authorised signatory of a DPIIT-recognised entity</t>
        </is>
      </c>
      <c r="C2" s="4" t="inlineStr">
        <is>
          <t>Own applications, pilots, contracts and payments</t>
        </is>
      </c>
    </row>
    <row r="3">
      <c r="A3" s="12" t="inlineStr">
        <is>
          <t>Nodal Officer</t>
        </is>
      </c>
      <c r="B3" s="13" t="inlineStr">
        <is>
          <t>Drafts problem statements, assigns the committee, shortlists, creates pilots</t>
        </is>
      </c>
      <c r="C3" s="13" t="inlineStr">
        <is>
          <t>Own department; cannot approve own publication</t>
        </is>
      </c>
    </row>
    <row r="4">
      <c r="A4" s="8" t="inlineStr">
        <is>
          <t>Department Head</t>
        </is>
      </c>
      <c r="B4" s="4" t="inlineStr">
        <is>
          <t>Approves publication, sanctions procurement, records pilot verdicts</t>
        </is>
      </c>
      <c r="C4" s="4" t="inlineStr">
        <is>
          <t>Own department plus approval authority</t>
        </is>
      </c>
    </row>
    <row r="5">
      <c r="A5" s="12" t="inlineStr">
        <is>
          <t>Evaluator</t>
        </is>
      </c>
      <c r="B5" s="13" t="inlineStr">
        <is>
          <t>Scores assigned applications against the published rubric</t>
        </is>
      </c>
      <c r="C5" s="13" t="inlineStr">
        <is>
          <t>Assigned applications only, blind until submission</t>
        </is>
      </c>
    </row>
    <row r="6">
      <c r="A6" s="8" t="inlineStr">
        <is>
          <t>Pilot Monitor</t>
        </is>
      </c>
      <c r="B6" s="4" t="inlineStr">
        <is>
          <t>Reviews milestone evidence, verifies KPI readings, records the verdict</t>
        </is>
      </c>
      <c r="C6" s="4" t="inlineStr">
        <is>
          <t>Pilots in own department</t>
        </is>
      </c>
    </row>
    <row r="7">
      <c r="A7" s="12" t="inlineStr">
        <is>
          <t>Procurement Officer</t>
        </is>
      </c>
      <c r="B7" s="13" t="inlineStr">
        <is>
          <t>Drafts procurement, issues purchase orders, releases payments</t>
        </is>
      </c>
      <c r="C7" s="13" t="inlineStr">
        <is>
          <t>Procurement and payments in own department</t>
        </is>
      </c>
    </row>
    <row r="8">
      <c r="A8" s="8" t="inlineStr">
        <is>
          <t>Platform Admin</t>
        </is>
      </c>
      <c r="B8" s="4" t="inlineStr">
        <is>
          <t>Manages accounts, verifies KYC, verifies audit-chain integrity</t>
        </is>
      </c>
      <c r="C8" s="4" t="inlineStr">
        <is>
          <t>Platform-wide; cannot score, approve or sanction</t>
        </is>
      </c>
    </row>
    <row r="9">
      <c r="A9" s="12" t="inlineStr">
        <is>
          <t>Public</t>
        </is>
      </c>
      <c r="B9" s="13" t="inlineStr">
        <is>
          <t>Unauthenticated reader</t>
        </is>
      </c>
      <c r="C9" s="13" t="inlineStr">
        <is>
          <t>Everything published; nothing in draft</t>
        </is>
      </c>
    </row>
  </sheetData>
  <autoFilter ref="A1:C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60" customWidth="1" min="3" max="3"/>
  </cols>
  <sheetData>
    <row r="1">
      <c r="A1" s="14" t="inlineStr">
        <is>
          <t>Requirements traceability - summary</t>
        </is>
      </c>
    </row>
    <row r="3">
      <c r="A3" s="15" t="inlineStr">
        <is>
          <t>Functional requirements</t>
        </is>
      </c>
      <c r="B3" s="16">
        <f>COUNTA('Functional RTM'!A2:A53)</f>
        <v/>
      </c>
      <c r="C3" s="17" t="inlineStr">
        <is>
          <t>Count of rows on the Functional RTM tab</t>
        </is>
      </c>
    </row>
    <row r="4">
      <c r="A4" s="15" t="inlineStr">
        <is>
          <t>Security requirements</t>
        </is>
      </c>
      <c r="B4" s="16">
        <f>COUNTA('Security RTM'!A2:A18)</f>
        <v/>
      </c>
      <c r="C4" s="17" t="inlineStr">
        <is>
          <t>Count of rows on the Security RTM tab</t>
        </is>
      </c>
    </row>
    <row r="5">
      <c r="A5" s="15" t="inlineStr">
        <is>
          <t>Non-functional requirements</t>
        </is>
      </c>
      <c r="B5" s="16">
        <f>COUNTA('NFR RTM'!A2:A18)</f>
        <v/>
      </c>
      <c r="C5" s="17" t="inlineStr">
        <is>
          <t>Count of rows on the NFR RTM tab</t>
        </is>
      </c>
    </row>
    <row r="6">
      <c r="A6" s="15" t="inlineStr">
        <is>
          <t>Total requirements</t>
        </is>
      </c>
      <c r="B6" s="16">
        <f>COUNTA('Functional RTM'!A2:A53)+COUNTA('Security RTM'!A2:A18)+COUNTA('NFR RTM'!A2:A18)</f>
        <v/>
      </c>
      <c r="C6" s="17" t="inlineStr">
        <is>
          <t>Sum of the three requirement tabs</t>
        </is>
      </c>
    </row>
    <row r="7">
      <c r="A7" s="15" t="inlineStr">
        <is>
          <t>Must-have requirements</t>
        </is>
      </c>
      <c r="B7" s="16">
        <f>COUNTIF('Functional RTM'!E2:E53,"M")+COUNTIF('Security RTM'!E2:E18,"M")+COUNTIF('NFR RTM'!E2:E18,"M")</f>
        <v/>
      </c>
      <c r="C7" s="17" t="inlineStr">
        <is>
          <t>MoSCoW priority M across all tabs</t>
        </is>
      </c>
    </row>
    <row r="8">
      <c r="A8" s="15" t="inlineStr">
        <is>
          <t>Verified</t>
        </is>
      </c>
      <c r="B8" s="16">
        <f>COUNTIF('Functional RTM'!K2:K53,"Verified")+COUNTIF('Security RTM'!K2:K18,"Verified")+COUNTIF('NFR RTM'!K2:K18,"Verified")</f>
        <v/>
      </c>
      <c r="C8" s="17" t="inlineStr">
        <is>
          <t>Test executed and result reviewed</t>
        </is>
      </c>
    </row>
    <row r="9">
      <c r="A9" s="15" t="inlineStr">
        <is>
          <t>Verified share</t>
        </is>
      </c>
      <c r="B9" s="16">
        <f>ROUND((COUNTIF('Functional RTM'!K2:K53,"Verified")+COUNTIF('Security RTM'!K2:K18,"Verified")+COUNTIF('NFR RTM'!K2:K18,"Verified"))/(52+17+17),3)</f>
        <v/>
      </c>
      <c r="C9" s="17" t="inlineStr">
        <is>
          <t>Format as a percentage; the headline completion figure</t>
        </is>
      </c>
    </row>
    <row r="10">
      <c r="A10" s="15" t="inlineStr">
        <is>
          <t>Developed but not verified</t>
        </is>
      </c>
      <c r="B10" s="16">
        <f>COUNTIF('Functional RTM'!K2:K53,"Developed")+COUNTIF('Security RTM'!K2:K18,"Developed")+COUNTIF('NFR RTM'!K2:K18,"Developed")</f>
        <v/>
      </c>
      <c r="C10" s="17" t="inlineStr">
        <is>
          <t>Implemented, awaiting a verification pass</t>
        </is>
      </c>
    </row>
    <row r="11">
      <c r="A11" s="15" t="inlineStr">
        <is>
          <t>Approved but not yet built</t>
        </is>
      </c>
      <c r="B11" s="16">
        <f>COUNTIF('Functional RTM'!K2:K53,"Approved")+COUNTIF('Security RTM'!K2:K18,"Approved")+COUNTIF('NFR RTM'!K2:K18,"Approved")</f>
        <v/>
      </c>
      <c r="C11" s="17" t="inlineStr">
        <is>
          <t>In scope, deferred to a deployment phase</t>
        </is>
      </c>
    </row>
    <row r="12">
      <c r="A12" s="15" t="inlineStr">
        <is>
          <t>Compliance-tagged requirements</t>
        </is>
      </c>
      <c r="B12" s="16">
        <f>COUNTA('Functional RTM'!J2:J53)+COUNTA('Security RTM'!J2:J18)+COUNTA('NFR RTM'!J2:J18)-COUNTIF('Functional RTM'!J2:J53,"-")-COUNTIF('Security RTM'!J2:J18,"-")-COUNTIF('NFR RTM'!J2:J18,"-")</f>
        <v/>
      </c>
      <c r="C12" s="17" t="inlineStr">
        <is>
          <t>Rows carrying a statutory or standards tag</t>
        </is>
      </c>
    </row>
    <row r="13">
      <c r="A13" s="15" t="inlineStr">
        <is>
          <t>Requirements missing a design reference</t>
        </is>
      </c>
      <c r="B13" s="16">
        <f>COUNTIF('Functional RTM'!H2:H53,"")+COUNTIF('Security RTM'!H2:H18,"")+COUNTIF('NFR RTM'!H2:H18,"")</f>
        <v/>
      </c>
      <c r="C13" s="17" t="inlineStr">
        <is>
          <t>Must be zero for the chain to be complete</t>
        </is>
      </c>
    </row>
    <row r="14">
      <c r="A14" s="15" t="inlineStr">
        <is>
          <t>Requirements missing a test reference</t>
        </is>
      </c>
      <c r="B14" s="16">
        <f>COUNTIF('Functional RTM'!I2:I53,"")+COUNTIF('Security RTM'!I2:I18,"")+COUNTIF('NFR RTM'!I2:I18,"")</f>
        <v/>
      </c>
      <c r="C14" s="17" t="inlineStr">
        <is>
          <t>Must be zero for the chain to be complete</t>
        </is>
      </c>
    </row>
    <row r="16">
      <c r="A16" s="18" t="inlineStr">
        <is>
          <t>All figures are live formulas over the requirement tabs. Editing a Status cell updates this tab; nothing here is a typed number.</t>
        </is>
      </c>
    </row>
  </sheetData>
  <mergeCells count="1"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2026-09-03T15:39:47Z</dcterms:created>
  <dcterms:modified xmlns:dcterms="http://purl.org/dc/terms/" xmlns:xsi="http://www.w3.org/2001/XMLSchema-instance" xsi:type="dcterms:W3CDTF">2026-09-03T15:39:47Z</dcterms:modified>
</cp:coreProperties>
</file>